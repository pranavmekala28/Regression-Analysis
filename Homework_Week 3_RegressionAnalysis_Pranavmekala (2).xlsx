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9.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defaultThemeVersion="166925"/>
  <mc:AlternateContent xmlns:mc="http://schemas.openxmlformats.org/markup-compatibility/2006">
    <mc:Choice Requires="x15">
      <x15ac:absPath xmlns:x15ac="http://schemas.microsoft.com/office/spreadsheetml/2010/11/ac" url="C:\Users\prana\Downloads\"/>
    </mc:Choice>
  </mc:AlternateContent>
  <xr:revisionPtr revIDLastSave="0" documentId="13_ncr:1_{A49BD026-5F26-40FC-A23E-637743FB4626}" xr6:coauthVersionLast="47" xr6:coauthVersionMax="47" xr10:uidLastSave="{00000000-0000-0000-0000-000000000000}"/>
  <bookViews>
    <workbookView xWindow="-96" yWindow="-96" windowWidth="17472" windowHeight="10992" firstSheet="1" activeTab="4" xr2:uid="{F067CFCE-2DE7-4171-9065-C1701259D281}"/>
  </bookViews>
  <sheets>
    <sheet name="Regression (1)" sheetId="1" r:id="rId1"/>
    <sheet name="Regression (2)" sheetId="4" r:id="rId2"/>
    <sheet name="Cupcake Data" sheetId="2" r:id="rId3"/>
    <sheet name="Avocado Data" sheetId="3" r:id="rId4"/>
    <sheet name="Sheet1" sheetId="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 localSheetId="1">#REF!</definedName>
    <definedName name="a">'[1]Cupcake - Gompertz'!$D$7</definedName>
    <definedName name="a_">'[2]S-curve'!$K$11</definedName>
    <definedName name="aa">'[3]S-curve'!$F$14</definedName>
    <definedName name="alp">#REF!</definedName>
    <definedName name="alpha">#REF!</definedName>
    <definedName name="amount">[4]RFM!$E$11:$E$30</definedName>
    <definedName name="anngrowth">'[5]Dynamic Labels'!$D$3</definedName>
    <definedName name="apar">[6]gomp!$H$3</definedName>
    <definedName name="aprime">#REF!</definedName>
    <definedName name="aprime1">#REF!</definedName>
    <definedName name="Assigned">'[7]soap cluster 3'!$P$15:$P$132</definedName>
    <definedName name="AXY">'[7]MDS (Sum)'!$B$42:$C$42</definedName>
    <definedName name="b" localSheetId="1">#REF!</definedName>
    <definedName name="b">'[1]Cupcake - Gompertz'!$E$7</definedName>
    <definedName name="b_">'[2]S-curve'!$L$11</definedName>
    <definedName name="base">[8]initialization!$G$6</definedName>
    <definedName name="baseadd" localSheetId="1">'[2]Trend &amp; Seasonality a'!$B$6</definedName>
    <definedName name="baseadd">'[1]Avocado - Multiplicative trend'!$B$2</definedName>
    <definedName name="bb">#REF!</definedName>
    <definedName name="bet">#REF!</definedName>
    <definedName name="beta">#REF!</definedName>
    <definedName name="bpar">[6]gomp!$I$3</definedName>
    <definedName name="BXY">'[7]MDS (Sum)'!$B$43:$C$43</definedName>
    <definedName name="c_" localSheetId="1">[9]AMZ!$F$3</definedName>
    <definedName name="c_">'[1]Cupcake - Gompertz'!$F$7</definedName>
    <definedName name="cc">'[3]S-curve'!$H$14</definedName>
    <definedName name="const">#REF!</definedName>
    <definedName name="cpar">[6]gomp!$J$3</definedName>
    <definedName name="CXY">'[7]MDS (Sum)'!$B$44:$C$44</definedName>
    <definedName name="Data">'[7]soap cluster 3'!$A$15:$K$132</definedName>
    <definedName name="date">[4]RFM!$C$11:$C$30</definedName>
    <definedName name="demand">#REF!</definedName>
    <definedName name="demand_A">'[2]Soap A &amp; B'!$W$14</definedName>
    <definedName name="discount_rate">'[10]basic model'!$B$1</definedName>
    <definedName name="discountrate">[2]CLV!$B$7</definedName>
    <definedName name="Distance">'[7]MDS (Sum)'!$F$25:$K$30</definedName>
    <definedName name="distances">[2]MDS!$F$29:$K$34</definedName>
    <definedName name="DXY">'[7]MDS (Sum)'!$B$45:$C$45</definedName>
    <definedName name="ERic">#REF!</definedName>
    <definedName name="EXY">'[7]MDS (Sum)'!$B$46:$C$46</definedName>
    <definedName name="F">[2]RFM!$M$11:$M$30</definedName>
    <definedName name="Frequency">[7]RFM!$K$11:$K$30</definedName>
    <definedName name="FXY">'[7]MDS (Sum)'!$B$47:$C$47</definedName>
    <definedName name="gam">#REF!</definedName>
    <definedName name="gamma">#REF!</definedName>
    <definedName name="improve_half_way_years_needed">'[10]growing margins'!$G$5</definedName>
    <definedName name="k">'[10]growing margins'!$I$4</definedName>
    <definedName name="kretent">#REF!</definedName>
    <definedName name="L">#REF!</definedName>
    <definedName name="lookdis">'[10]basic model'!$H$3:$I$5</definedName>
    <definedName name="lookinc">#REF!</definedName>
    <definedName name="lookjob">#REF!</definedName>
    <definedName name="lookmarr">#REF!</definedName>
    <definedName name="lookseason">#REF!</definedName>
    <definedName name="Lookup">[11]nfl2000!$L$3:$M$33</definedName>
    <definedName name="Lookup_">[2]Cluster!$A$10:$P$30</definedName>
    <definedName name="lookup2">'[2]Soap A &amp; B'!$N$133:$U$251</definedName>
    <definedName name="lookup3">'[2]Soap A &amp; B'!$A$268:$G$386</definedName>
    <definedName name="M">[2]RFM!$N$11:$N$30</definedName>
    <definedName name="MargBenefits">[12]agency!$B$40:$B$41</definedName>
    <definedName name="Monetary">[7]RFM!$L$11:$L$30</definedName>
    <definedName name="Most__Recent_Order">[2]RFM!$B$11:$B$30</definedName>
    <definedName name="Nbar">#REF!</definedName>
    <definedName name="NewFraser">[4]Cluster!$R$27:$X$27</definedName>
    <definedName name="NewGorham">[4]Cluster!$AH$27:$AN$27</definedName>
    <definedName name="NewKingsgate">[4]Cluster!$Z$27:$AF$27</definedName>
    <definedName name="Number_of__Orders">[2]RFM!$C$11:$C$30</definedName>
    <definedName name="Old">#REF!</definedName>
    <definedName name="orders">[4]RFM!$D$11:$D$30</definedName>
    <definedName name="OriginalData">'[7]MDS (VRank)'!$F$32:$K$37</definedName>
    <definedName name="OriginalRank">'[7]MDS (VRank)'!$F$41:$K$46</definedName>
    <definedName name="OriginalRanks">'[7]MDS (Sum)'!$F$33:$K$38</definedName>
    <definedName name="p">#REF!</definedName>
    <definedName name="Pal_Workbook_GUID" hidden="1">"5SHRA32K7GY1Q8VDANMT2UZ4"</definedName>
    <definedName name="Price">'[7]Answer - Soap A &amp; B'!$C$2:$C$119</definedName>
    <definedName name="price_A">'[2]Soap A &amp; B'!$W$13</definedName>
    <definedName name="Product">'[7]Answer - Soap A &amp; B'!$B$2:$B$119</definedName>
    <definedName name="Profit">'[7]soap cluster 3'!$Q$15:$Q$132</definedName>
    <definedName name="q">#REF!</definedName>
    <definedName name="Q1_">#REF!</definedName>
    <definedName name="Q2_">#REF!</definedName>
    <definedName name="Q3_">#REF!</definedName>
    <definedName name="Q4_">#REF!</definedName>
    <definedName name="Quartile1">[4]Cluster!$B$29:$J$29</definedName>
    <definedName name="Quartile2">[4]Cluster!$B$30:$J$30</definedName>
    <definedName name="Quartile3">[4]Cluster!$B$31:$J$31</definedName>
    <definedName name="R_">[2]RFM!$L$11:$L$30</definedName>
    <definedName name="rating">[13]RFM!$P$3:$Q$6</definedName>
    <definedName name="Recency">[7]RFM!$J$11:$J$30</definedName>
    <definedName name="retention_rate">'[10]basic model'!$B$2</definedName>
    <definedName name="retentionrate">[2]CLV!$B$8</definedName>
    <definedName name="RFMDATA">'[7]Cluster (Answer)'!$A$11:$S$30</definedName>
    <definedName name="rfmlookup">[4]RFM!$N$3:$O$6</definedName>
    <definedName name="RiskAfterRecalcMacro" hidden="1">""</definedName>
    <definedName name="RiskAfterSimMacro" hidden="1">""</definedName>
    <definedName name="RiskBeforeRecalcMacro" hidden="1">""</definedName>
    <definedName name="RiskBeforeSimMacro" hidden="1">""</definedName>
    <definedName name="RiskCollectDistributionSamples" localSheetId="3" hidden="1">0</definedName>
    <definedName name="RiskCollectDistributionSamples" localSheetId="2" hidden="1">0</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localSheetId="3" hidden="1">50000</definedName>
    <definedName name="RiskNumIterations" localSheetId="2" hidden="1">50000</definedName>
    <definedName name="RiskNumIterations" hidden="1">10000</definedName>
    <definedName name="RiskNumSimulations" localSheetId="3" hidden="1">11</definedName>
    <definedName name="RiskNumSimulations" localSheetId="2" hidden="1">11</definedName>
    <definedName name="RiskNumSimulations" hidden="1">1</definedName>
    <definedName name="RiskPauseOnError" hidden="1">FALSE</definedName>
    <definedName name="RiskRealTimeResults">FALSE</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StatFunctionsUpdateFreq">1</definedName>
    <definedName name="RiskUpdateDisplay" localSheetId="3" hidden="1">TRUE</definedName>
    <definedName name="RiskUpdateDisplay" localSheetId="2" hidden="1">TRUE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Sales">'[7]Answer - Soap A &amp; B'!$D$2:$D$119</definedName>
    <definedName name="Sales__Dollars">[2]RFM!$D$11:$D$30</definedName>
    <definedName name="season">[8]initialization!$H$3:$I$14</definedName>
    <definedName name="SecondRank">'[7]MDS (VRank)'!$F$60:$K$65</definedName>
    <definedName name="solver_adj" localSheetId="3" hidden="1">'Avocado Data'!#REF!,'Avocado Data'!#REF!</definedName>
    <definedName name="solver_cvg" localSheetId="3" hidden="1">0.0001</definedName>
    <definedName name="solver_cvg" localSheetId="2" hidden="1">0.0001</definedName>
    <definedName name="solver_drv" localSheetId="3" hidden="1">1</definedName>
    <definedName name="solver_drv" localSheetId="2" hidden="1">1</definedName>
    <definedName name="solver_eng" localSheetId="3" hidden="1">1</definedName>
    <definedName name="solver_eng" localSheetId="2" hidden="1">1</definedName>
    <definedName name="solver_est" localSheetId="3" hidden="1">1</definedName>
    <definedName name="solver_est" localSheetId="2" hidden="1">1</definedName>
    <definedName name="solver_itr" localSheetId="3" hidden="1">2147483647</definedName>
    <definedName name="solver_itr" localSheetId="2" hidden="1">2147483647</definedName>
    <definedName name="solver_lhs1" localSheetId="3" hidden="1">'Avocado Data'!#REF!</definedName>
    <definedName name="solver_lhs1" localSheetId="2" hidden="1">'Cupcake Data'!$H$9</definedName>
    <definedName name="solver_lhs2" localSheetId="2" hidden="1">'Cupcake Data'!$H$9:$H$11</definedName>
    <definedName name="solver_mip" localSheetId="3" hidden="1">2147483647</definedName>
    <definedName name="solver_mip" localSheetId="2" hidden="1">2147483647</definedName>
    <definedName name="solver_mni" localSheetId="3" hidden="1">30</definedName>
    <definedName name="solver_mni" localSheetId="2" hidden="1">30</definedName>
    <definedName name="solver_mrt" localSheetId="3" hidden="1">0.075</definedName>
    <definedName name="solver_mrt" localSheetId="2" hidden="1">0.075</definedName>
    <definedName name="solver_msl" localSheetId="3" hidden="1">2</definedName>
    <definedName name="solver_msl" localSheetId="2" hidden="1">2</definedName>
    <definedName name="solver_neg" localSheetId="3" hidden="1">2</definedName>
    <definedName name="solver_neg" localSheetId="2" hidden="1">1</definedName>
    <definedName name="solver_nod" localSheetId="3" hidden="1">2147483647</definedName>
    <definedName name="solver_nod" localSheetId="2" hidden="1">2147483647</definedName>
    <definedName name="solver_num" localSheetId="3" hidden="1">1</definedName>
    <definedName name="solver_num" localSheetId="2" hidden="1">0</definedName>
    <definedName name="solver_nwt" localSheetId="3" hidden="1">1</definedName>
    <definedName name="solver_nwt" localSheetId="2" hidden="1">1</definedName>
    <definedName name="solver_opt" localSheetId="3" hidden="1">'Avocado Data'!#REF!</definedName>
    <definedName name="solver_pre" localSheetId="3" hidden="1">0.000001</definedName>
    <definedName name="solver_pre" localSheetId="2" hidden="1">0.000001</definedName>
    <definedName name="solver_rbv" localSheetId="3" hidden="1">1</definedName>
    <definedName name="solver_rbv" localSheetId="2" hidden="1">1</definedName>
    <definedName name="solver_rel1" localSheetId="3" hidden="1">2</definedName>
    <definedName name="solver_rel1" localSheetId="2" hidden="1">3</definedName>
    <definedName name="solver_rel2" localSheetId="2" hidden="1">1</definedName>
    <definedName name="solver_rhs1" localSheetId="3" hidden="1">1</definedName>
    <definedName name="solver_rhs1" localSheetId="2" hidden="1">'Cupcake Data'!$H$12</definedName>
    <definedName name="solver_rhs2" localSheetId="2" hidden="1">'Cupcake Data'!$H$9&gt;'Cupcake Data'!$H$12</definedName>
    <definedName name="solver_rlx" localSheetId="3" hidden="1">2</definedName>
    <definedName name="solver_rlx" localSheetId="2" hidden="1">2</definedName>
    <definedName name="solver_rsd" localSheetId="3" hidden="1">0</definedName>
    <definedName name="solver_rsd" localSheetId="2" hidden="1">0</definedName>
    <definedName name="solver_scl" localSheetId="3" hidden="1">1</definedName>
    <definedName name="solver_scl" localSheetId="2" hidden="1">1</definedName>
    <definedName name="solver_sho" localSheetId="3" hidden="1">2</definedName>
    <definedName name="solver_sho" localSheetId="2" hidden="1">2</definedName>
    <definedName name="solver_ssz" localSheetId="3" hidden="1">100</definedName>
    <definedName name="solver_ssz" localSheetId="2" hidden="1">100</definedName>
    <definedName name="solver_tim" localSheetId="3" hidden="1">2147483647</definedName>
    <definedName name="solver_tim" localSheetId="2" hidden="1">2147483647</definedName>
    <definedName name="solver_tol" localSheetId="3" hidden="1">0.01</definedName>
    <definedName name="solver_tol" localSheetId="2" hidden="1">0.01</definedName>
    <definedName name="solver_typ" localSheetId="3" hidden="1">2</definedName>
    <definedName name="solver_typ" localSheetId="2" hidden="1">1</definedName>
    <definedName name="solver_val" localSheetId="3" hidden="1">0</definedName>
    <definedName name="solver_val" localSheetId="2" hidden="1">0</definedName>
    <definedName name="solver_ver" localSheetId="3" hidden="1">3</definedName>
    <definedName name="solver_ver" localSheetId="2" hidden="1">3</definedName>
    <definedName name="steady_state_margin">'[10]growing margins'!$G$4</definedName>
    <definedName name="steady_state_retenion">#REF!</definedName>
    <definedName name="target">'[5]Dynamic Labels'!$D$1</definedName>
    <definedName name="total_profit">#REF!</definedName>
    <definedName name="trend" localSheetId="1">#REF!</definedName>
    <definedName name="Trend">'[1]Avocado - Additive trend'!$B$3</definedName>
    <definedName name="Trend1">'[1]Avocado - Multiplicative trend'!$B$3</definedName>
    <definedName name="trendpercent">#REF!</definedName>
    <definedName name="TwoData">'[7]MDS (VRank)'!$F$51:$K$56</definedName>
    <definedName name="TwoDistance">'[7]MDS (Sum)'!$F$42:$K$47</definedName>
    <definedName name="twodistances">[2]MDS!$F$47:$K$52</definedName>
    <definedName name="twodranks">[2]MDS!$F$56:$K$61</definedName>
    <definedName name="TwoRanks">'[7]MDS (Sum)'!$F$51:$K$56</definedName>
    <definedName name="unit_cost">#REF!</definedName>
    <definedName name="unit_cost_A">'[2]Soap A &amp; B'!$W$12</definedName>
    <definedName name="videogame_profit">#REF!</definedName>
    <definedName name="WageHigh">[12]agency!$B$43</definedName>
    <definedName name="Wages">[12]agency!$B$24:$D$24</definedName>
    <definedName name="year_1_margin">'[10]growing margins'!$G$3</definedName>
    <definedName name="year_1_retention">#REF!</definedName>
    <definedName name="Year1sales">'[5]Dynamic Labels'!$D$2</definedName>
  </definedNames>
  <calcPr calcId="191029"/>
  <pivotCaches>
    <pivotCache cacheId="0"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2" l="1"/>
  <c r="D9" i="2"/>
  <c r="D10" i="2"/>
  <c r="E10" i="2" s="1"/>
  <c r="D11" i="2"/>
  <c r="E11" i="2" s="1"/>
  <c r="D12" i="2"/>
  <c r="E12" i="2" s="1"/>
  <c r="D13" i="2"/>
  <c r="E13" i="2" s="1"/>
  <c r="D14" i="2"/>
  <c r="E14" i="2" s="1"/>
  <c r="D15" i="2"/>
  <c r="E15" i="2" s="1"/>
  <c r="D16" i="2"/>
  <c r="E16" i="2" s="1"/>
  <c r="D17" i="2"/>
  <c r="D18" i="2"/>
  <c r="E18" i="2" s="1"/>
  <c r="D19" i="2"/>
  <c r="D20" i="2"/>
  <c r="D21" i="2"/>
  <c r="E21" i="2" s="1"/>
  <c r="D22" i="2"/>
  <c r="E22" i="2" s="1"/>
  <c r="D23" i="2"/>
  <c r="E23" i="2" s="1"/>
  <c r="D24" i="2"/>
  <c r="E24" i="2" s="1"/>
  <c r="D25" i="2"/>
  <c r="D26" i="2"/>
  <c r="E26" i="2" s="1"/>
  <c r="D27" i="2"/>
  <c r="E27" i="2" s="1"/>
  <c r="D28" i="2"/>
  <c r="D29" i="2"/>
  <c r="E29" i="2" s="1"/>
  <c r="D30" i="2"/>
  <c r="E30" i="2" s="1"/>
  <c r="D31" i="2"/>
  <c r="E31" i="2" s="1"/>
  <c r="D32" i="2"/>
  <c r="E32" i="2" s="1"/>
  <c r="D33" i="2"/>
  <c r="E33" i="2" s="1"/>
  <c r="F33" i="2"/>
  <c r="F32" i="2"/>
  <c r="F31" i="2"/>
  <c r="F30" i="2"/>
  <c r="F29" i="2"/>
  <c r="F10" i="2"/>
  <c r="F11" i="2"/>
  <c r="F12" i="2"/>
  <c r="F13" i="2"/>
  <c r="F14" i="2"/>
  <c r="F15" i="2"/>
  <c r="F16" i="2"/>
  <c r="F17" i="2"/>
  <c r="F18" i="2"/>
  <c r="F19" i="2"/>
  <c r="F20" i="2"/>
  <c r="F21" i="2"/>
  <c r="F22" i="2"/>
  <c r="F23" i="2"/>
  <c r="F24" i="2"/>
  <c r="F25" i="2"/>
  <c r="F26" i="2"/>
  <c r="F27" i="2"/>
  <c r="F28" i="2"/>
  <c r="F9" i="2"/>
  <c r="E19" i="2"/>
  <c r="E20" i="2"/>
  <c r="E28" i="2"/>
  <c r="E17" i="2"/>
  <c r="E25" i="2"/>
  <c r="E9" i="2"/>
  <c r="E6" i="4"/>
  <c r="E5" i="4"/>
  <c r="E4" i="4"/>
  <c r="C39" i="5"/>
  <c r="C41" i="5"/>
  <c r="C51" i="5"/>
  <c r="C49" i="5"/>
  <c r="C59" i="5"/>
  <c r="C58" i="5"/>
  <c r="C45" i="5"/>
  <c r="C38" i="5"/>
  <c r="C43" i="5"/>
  <c r="C47" i="5"/>
  <c r="C55" i="5"/>
  <c r="C50" i="5"/>
  <c r="C52" i="5"/>
  <c r="C36" i="5"/>
  <c r="C46" i="5"/>
  <c r="C54" i="5"/>
  <c r="C42" i="5"/>
  <c r="C40" i="5"/>
  <c r="C57" i="5"/>
  <c r="C44" i="5"/>
  <c r="C48" i="5"/>
  <c r="C56" i="5"/>
  <c r="C53" i="5"/>
  <c r="C37" i="5"/>
  <c r="G4" i="4" l="1"/>
  <c r="G7" i="4"/>
  <c r="H7" i="4" s="1"/>
  <c r="I7" i="4" s="1"/>
  <c r="G5" i="4"/>
  <c r="H5" i="4" s="1"/>
  <c r="I5" i="4" s="1"/>
  <c r="G6" i="4"/>
  <c r="H6" i="4" s="1"/>
  <c r="I6" i="4" s="1"/>
  <c r="G27" i="2"/>
  <c r="G21" i="2"/>
  <c r="G22" i="2"/>
  <c r="G14" i="2"/>
  <c r="G20" i="2"/>
  <c r="G17" i="2"/>
  <c r="G32" i="2"/>
  <c r="G19" i="2"/>
  <c r="G13" i="2"/>
  <c r="G18" i="2"/>
  <c r="G33" i="2"/>
  <c r="G11" i="2"/>
  <c r="G30" i="2"/>
  <c r="G12" i="2"/>
  <c r="G31" i="2"/>
  <c r="G10" i="2"/>
  <c r="G9" i="2"/>
  <c r="G28" i="2"/>
  <c r="G29" i="2"/>
  <c r="G23" i="2"/>
  <c r="G15" i="2"/>
  <c r="G16" i="2"/>
  <c r="G26" i="2"/>
  <c r="G25" i="2"/>
  <c r="G24" i="2"/>
  <c r="H4" i="4"/>
  <c r="I4" i="4" s="1"/>
  <c r="I8" i="4" s="1"/>
  <c r="D41" i="5"/>
  <c r="E39" i="5"/>
  <c r="E43" i="5"/>
  <c r="E54" i="5"/>
  <c r="D37" i="5"/>
  <c r="E46" i="5"/>
  <c r="E49" i="5"/>
  <c r="D39" i="5"/>
  <c r="E40" i="5"/>
  <c r="D46" i="5"/>
  <c r="D53" i="5"/>
  <c r="E48" i="5"/>
  <c r="D45" i="5"/>
  <c r="E53" i="5"/>
  <c r="E58" i="5"/>
  <c r="D48" i="5"/>
  <c r="E57" i="5"/>
  <c r="D51" i="5"/>
  <c r="E38" i="5"/>
  <c r="D42" i="5"/>
  <c r="D36" i="5"/>
  <c r="E56" i="5"/>
  <c r="E55" i="5"/>
  <c r="D56" i="5"/>
  <c r="D52" i="5"/>
  <c r="E50" i="5"/>
  <c r="D55" i="5"/>
  <c r="D59" i="5"/>
  <c r="D43" i="5"/>
  <c r="E37" i="5"/>
  <c r="E45" i="5"/>
  <c r="D50" i="5"/>
  <c r="E44" i="5"/>
  <c r="D49" i="5"/>
  <c r="E47" i="5"/>
  <c r="E51" i="5"/>
  <c r="D40" i="5"/>
  <c r="D38" i="5"/>
  <c r="E42" i="5"/>
  <c r="E36" i="5"/>
  <c r="D44" i="5"/>
  <c r="D47" i="5"/>
  <c r="E41" i="5"/>
  <c r="D54" i="5"/>
  <c r="D58" i="5"/>
  <c r="D57" i="5"/>
  <c r="E59" i="5"/>
  <c r="E52" i="5"/>
  <c r="M14" i="1" l="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3" i="1"/>
  <c r="G21" i="1"/>
</calcChain>
</file>

<file path=xl/sharedStrings.xml><?xml version="1.0" encoding="utf-8"?>
<sst xmlns="http://schemas.openxmlformats.org/spreadsheetml/2006/main" count="573" uniqueCount="219">
  <si>
    <t xml:space="preserve">Rippedbody.com is a website that provides support for individuals who are looking to obtain muscular physics.  The website provides routines, nutritional information, and support groups for individuals.  The website has been able to monitize itself through click through ads and by also providing products for sale on the website that support the ripped body lifestyle.  The company conducting a website satisfaction survey.  The data includes demographic information along with customer website tracking information.  Rippedbody would like to know if Gender, Customer Type (New/Existing), Age, Satisfaction, Visits can help them predict the revenue potential of customers.  Use the data to conduct a multiple regression analysis and interpret the results. </t>
  </si>
  <si>
    <t>Code</t>
  </si>
  <si>
    <t>Age Categories</t>
  </si>
  <si>
    <t>Satisfaction Scale 
(7-point Scale)</t>
  </si>
  <si>
    <t>&lt;20 yrs old</t>
  </si>
  <si>
    <t>Completely Unsatisfied</t>
  </si>
  <si>
    <t>20 - 29 yrs old</t>
  </si>
  <si>
    <t>Somewhat unsatisfied</t>
  </si>
  <si>
    <t>30 - 39 yrs old</t>
  </si>
  <si>
    <t>Barely unsatisfied</t>
  </si>
  <si>
    <t>40 - 49 yrs old</t>
  </si>
  <si>
    <t>Niether satisified nor unsatisfied</t>
  </si>
  <si>
    <t>50 - 59 yrs old</t>
  </si>
  <si>
    <t>Barely satisfied</t>
  </si>
  <si>
    <t>60 - 69 yrs old</t>
  </si>
  <si>
    <t>Somewhat satisfied</t>
  </si>
  <si>
    <t>70 or over</t>
  </si>
  <si>
    <t>Completely Satisfied</t>
  </si>
  <si>
    <t>CLEANED DATA</t>
  </si>
  <si>
    <t xml:space="preserve">1.  Determine what level of data (e.g. Nominal, Ordinal, Interval, Ratio)
      Interval, Ratio) each variable (i.e. column of data) is. </t>
  </si>
  <si>
    <t>ID</t>
  </si>
  <si>
    <t>Gender</t>
  </si>
  <si>
    <t>Customer Type (Existing/New)</t>
  </si>
  <si>
    <t>Customer Satisfaction Score</t>
  </si>
  <si>
    <t>Age</t>
  </si>
  <si>
    <t>Avg. Monthly Website Visits</t>
  </si>
  <si>
    <t>Total Customer Revenue</t>
  </si>
  <si>
    <t>Existing</t>
  </si>
  <si>
    <t>F</t>
  </si>
  <si>
    <t>2.  Create a dummy variable for any nominal level data.</t>
  </si>
  <si>
    <t>M</t>
  </si>
  <si>
    <t>New</t>
  </si>
  <si>
    <t xml:space="preserve">3.  Create an interaction term between Gender and 
      Satisfaction as well as between Age and Satisfaction and add them into the regression analysis. </t>
  </si>
  <si>
    <t>3.  Conduct a regression analysis.</t>
  </si>
  <si>
    <t>4.  Intepret results.</t>
  </si>
  <si>
    <t>Management of Rhiney Grocery Stores has been purchasing Avocados using a six month average but is not happy with being either over or under the actual demand for the month.  Below is the total monthly units sold of Avocados for RGS over the past three years.  Management has asked you to come in and help them to create a more accurate forecast.   You want to impress management and are determined to create the most accurate forecast possible.  Conduct the appropriate analysis, interpret results and provide a writeup for management. (20 points)</t>
  </si>
  <si>
    <t>Month</t>
  </si>
  <si>
    <t xml:space="preserve">M   </t>
  </si>
  <si>
    <t xml:space="preserve">F       </t>
  </si>
  <si>
    <t xml:space="preserve">New     </t>
  </si>
  <si>
    <t xml:space="preserve">Existing            </t>
  </si>
  <si>
    <t>A local cupcakery has had tremendous success since opening in 2000.  The owner has opened three locations with the latest one opening in 2021.  Now, the owner is considering opening a fourth location.  Below are the annual average-monthly unit cupcake sales of all the locations.  For instance, in 2013, cupcakes sales averaged 811 per month and then increased to an average monthly sales of 1301 cupcakes in 2015.  Conduct a S-Curve analysis using a Pearl and a Gompertz analysis.  Forecast sales for the next five years, interpret results and provide a recommendation to the owner. (20 points)</t>
  </si>
  <si>
    <t>Demand
(x10,000)</t>
  </si>
  <si>
    <t>5-Yr Time Period</t>
  </si>
  <si>
    <t>Cupcake Sales</t>
  </si>
  <si>
    <t>1. level of data</t>
  </si>
  <si>
    <t xml:space="preserve">Gender </t>
  </si>
  <si>
    <t>Nominal</t>
  </si>
  <si>
    <t>Customer Type</t>
  </si>
  <si>
    <t xml:space="preserve">Satisfaction Score </t>
  </si>
  <si>
    <t>Ordinal</t>
  </si>
  <si>
    <t>Website Visits</t>
  </si>
  <si>
    <t>Ratio</t>
  </si>
  <si>
    <t xml:space="preserve">Total Customer Revenue </t>
  </si>
  <si>
    <t xml:space="preserve">F     </t>
  </si>
  <si>
    <t>Dummy Gender</t>
  </si>
  <si>
    <t>Dummy Customer Type</t>
  </si>
  <si>
    <t>Interaction(Gender*Satisfaction)</t>
  </si>
  <si>
    <t>Interaction(Age*Satisfaction)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</si>
  <si>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</si>
  <si>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</si>
  <si>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</si>
  <si>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</si>
  <si>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</si>
  <si>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</si>
  <si>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</si>
  <si>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</si>
  <si>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</si>
  <si>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</si>
  <si>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</si>
  <si>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</si>
  <si>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</si>
  <si>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</si>
  <si>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</si>
  <si>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Significance F</t>
  </si>
  <si>
    <t>Coefficients</t>
  </si>
  <si>
    <t>t Stat</t>
  </si>
  <si>
    <t>P-value</t>
  </si>
  <si>
    <t>Lower 95%</t>
  </si>
  <si>
    <t>Upper 95%</t>
  </si>
  <si>
    <t>Lower 95.0%</t>
  </si>
  <si>
    <t>Upper 95.0%</t>
  </si>
  <si>
    <t>Row Labels</t>
  </si>
  <si>
    <t>Sum of Total Customer Revenue</t>
  </si>
  <si>
    <t>Grand Total</t>
  </si>
  <si>
    <t>Metric</t>
  </si>
  <si>
    <t>Value</t>
  </si>
  <si>
    <t>What It Means</t>
  </si>
  <si>
    <r>
      <t xml:space="preserve">Your model explains </t>
    </r>
    <r>
      <rPr>
        <b/>
        <sz val="11"/>
        <color theme="1"/>
        <rFont val="Calibri"/>
        <family val="2"/>
        <scheme val="minor"/>
      </rPr>
      <t>~89% of the variation</t>
    </r>
    <r>
      <rPr>
        <sz val="11"/>
        <color theme="1"/>
        <rFont val="Calibri"/>
        <family val="2"/>
        <scheme val="minor"/>
      </rPr>
      <t xml:space="preserve"> in revenue. That's excellent.</t>
    </r>
  </si>
  <si>
    <t>Still strong after adjusting for number of predictors.</t>
  </si>
  <si>
    <t>Average prediction error in revenue units.</t>
  </si>
  <si>
    <t>3.63 × 10⁻⁶⁹</t>
  </si>
  <si>
    <r>
      <t xml:space="preserve">The model is </t>
    </r>
    <r>
      <rPr>
        <b/>
        <sz val="11"/>
        <color theme="1"/>
        <rFont val="Calibri"/>
        <family val="2"/>
        <scheme val="minor"/>
      </rPr>
      <t>highly statistically significant</t>
    </r>
    <r>
      <rPr>
        <sz val="11"/>
        <color theme="1"/>
        <rFont val="Calibri"/>
        <family val="2"/>
        <scheme val="minor"/>
      </rPr>
      <t xml:space="preserve"> overall.</t>
    </r>
  </si>
  <si>
    <t>Model Performance</t>
  </si>
  <si>
    <t>Predictor</t>
  </si>
  <si>
    <t>Coefficient</t>
  </si>
  <si>
    <t>Interpretation</t>
  </si>
  <si>
    <t>6.44 × 10⁻⁶</t>
  </si>
  <si>
    <t>Baseline revenue when all predictors are zero.</t>
  </si>
  <si>
    <t>Customer Type (New vs Existing)</t>
  </si>
  <si>
    <t>5.99 × 10⁻³⁸</t>
  </si>
  <si>
    <r>
      <t xml:space="preserve">New customers spend </t>
    </r>
    <r>
      <rPr>
        <b/>
        <sz val="11"/>
        <color theme="1"/>
        <rFont val="Calibri"/>
        <family val="2"/>
        <scheme val="minor"/>
      </rPr>
      <t>$503 less</t>
    </r>
    <r>
      <rPr>
        <sz val="11"/>
        <color theme="1"/>
        <rFont val="Calibri"/>
        <family val="2"/>
        <scheme val="minor"/>
      </rPr>
      <t xml:space="preserve"> than existing ones.</t>
    </r>
  </si>
  <si>
    <t>Satisfaction Score</t>
  </si>
  <si>
    <t>2.47 × 10⁻⁶</t>
  </si>
  <si>
    <r>
      <t xml:space="preserve">Each point increase adds </t>
    </r>
    <r>
      <rPr>
        <b/>
        <sz val="11"/>
        <color theme="1"/>
        <rFont val="Calibri"/>
        <family val="2"/>
        <scheme val="minor"/>
      </rPr>
      <t>$119</t>
    </r>
    <r>
      <rPr>
        <sz val="11"/>
        <color theme="1"/>
        <rFont val="Calibri"/>
        <family val="2"/>
        <scheme val="minor"/>
      </rPr>
      <t xml:space="preserve"> to revenue.</t>
    </r>
  </si>
  <si>
    <t>Gender × Satisfaction</t>
  </si>
  <si>
    <r>
      <t xml:space="preserve">Satisfaction has a </t>
    </r>
    <r>
      <rPr>
        <b/>
        <sz val="11"/>
        <color theme="1"/>
        <rFont val="Calibri"/>
        <family val="2"/>
        <scheme val="minor"/>
      </rPr>
      <t>stronger impact for one gender</t>
    </r>
    <r>
      <rPr>
        <sz val="11"/>
        <color theme="1"/>
        <rFont val="Calibri"/>
        <family val="2"/>
        <scheme val="minor"/>
      </rPr>
      <t xml:space="preserve"> (likely female).</t>
    </r>
  </si>
  <si>
    <r>
      <t xml:space="preserve">Older customers spend </t>
    </r>
    <r>
      <rPr>
        <b/>
        <sz val="11"/>
        <color theme="1"/>
        <rFont val="Calibri"/>
        <family val="2"/>
        <scheme val="minor"/>
      </rPr>
      <t>$82 more per year of age</t>
    </r>
    <r>
      <rPr>
        <sz val="11"/>
        <color theme="1"/>
        <rFont val="Calibri"/>
        <family val="2"/>
        <scheme val="minor"/>
      </rPr>
      <t>.</t>
    </r>
  </si>
  <si>
    <t>4.98 × 10⁻³⁶</t>
  </si>
  <si>
    <r>
      <t xml:space="preserve">Each monthly visit adds </t>
    </r>
    <r>
      <rPr>
        <b/>
        <sz val="11"/>
        <color theme="1"/>
        <rFont val="Calibri"/>
        <family val="2"/>
        <scheme val="minor"/>
      </rPr>
      <t>$10.55</t>
    </r>
    <r>
      <rPr>
        <sz val="11"/>
        <color theme="1"/>
        <rFont val="Calibri"/>
        <family val="2"/>
        <scheme val="minor"/>
      </rPr>
      <t xml:space="preserve"> to revenue.</t>
    </r>
  </si>
  <si>
    <t>Key Predictors of Revenue</t>
  </si>
  <si>
    <t>Business Takeaways</t>
  </si>
  <si>
    <r>
      <t>Retention &gt; Acquisition</t>
    </r>
    <r>
      <rPr>
        <sz val="22"/>
        <color theme="1"/>
        <rFont val="Calibri"/>
        <family val="2"/>
        <scheme val="minor"/>
      </rPr>
      <t>: Existing customers are far more valuable.</t>
    </r>
  </si>
  <si>
    <r>
      <t>Satisfaction is gold</t>
    </r>
    <r>
      <rPr>
        <sz val="22"/>
        <color theme="1"/>
        <rFont val="Calibri"/>
        <family val="2"/>
        <scheme val="minor"/>
      </rPr>
      <t>: Boosting it pays off—especially for certain demographics.</t>
    </r>
  </si>
  <si>
    <r>
      <t>Digital engagement matters</t>
    </r>
    <r>
      <rPr>
        <sz val="22"/>
        <color theme="1"/>
        <rFont val="Calibri"/>
        <family val="2"/>
        <scheme val="minor"/>
      </rPr>
      <t>: Website visits are a strong revenue lever.</t>
    </r>
  </si>
  <si>
    <r>
      <t>Segment by age</t>
    </r>
    <r>
      <rPr>
        <sz val="22"/>
        <color theme="1"/>
        <rFont val="Calibri"/>
        <family val="2"/>
        <scheme val="minor"/>
      </rPr>
      <t>: Older customers are higher spenders—consider tailored strategies.</t>
    </r>
  </si>
  <si>
    <r>
      <t>Retention Drives Revenue</t>
    </r>
    <r>
      <rPr>
        <sz val="11"/>
        <color theme="1"/>
        <rFont val="Calibri"/>
        <family val="2"/>
        <scheme val="minor"/>
      </rPr>
      <t xml:space="preserve"> Existing customers spend </t>
    </r>
    <r>
      <rPr>
        <b/>
        <sz val="11"/>
        <color theme="1"/>
        <rFont val="Calibri"/>
        <family val="2"/>
        <scheme val="minor"/>
      </rPr>
      <t>$503 more</t>
    </r>
    <r>
      <rPr>
        <sz val="11"/>
        <color theme="1"/>
        <rFont val="Calibri"/>
        <family val="2"/>
        <scheme val="minor"/>
      </rPr>
      <t xml:space="preserve"> than new ones. That’s not just a preference—it’s a profit engine. → Prioritize loyalty programs, personalized outreach, and renewal incentives.</t>
    </r>
  </si>
  <si>
    <r>
      <t>Customer Satisfaction Is a Revenue Multiplier</t>
    </r>
    <r>
      <rPr>
        <sz val="11"/>
        <color theme="1"/>
        <rFont val="Calibri"/>
        <family val="2"/>
        <scheme val="minor"/>
      </rPr>
      <t xml:space="preserve"> Each point increase in satisfaction adds </t>
    </r>
    <r>
      <rPr>
        <b/>
        <sz val="11"/>
        <color theme="1"/>
        <rFont val="Calibri"/>
        <family val="2"/>
        <scheme val="minor"/>
      </rPr>
      <t>$119</t>
    </r>
    <r>
      <rPr>
        <sz val="11"/>
        <color theme="1"/>
        <rFont val="Calibri"/>
        <family val="2"/>
        <scheme val="minor"/>
      </rPr>
      <t xml:space="preserve"> to revenue. → Invest in service quality, feedback loops, and proactive support.</t>
    </r>
  </si>
  <si>
    <r>
      <t>Satisfaction Impacts Differently by Gender</t>
    </r>
    <r>
      <rPr>
        <sz val="11"/>
        <color theme="1"/>
        <rFont val="Calibri"/>
        <family val="2"/>
        <scheme val="minor"/>
      </rPr>
      <t xml:space="preserve"> The interaction term shows satisfaction matters </t>
    </r>
    <r>
      <rPr>
        <b/>
        <sz val="11"/>
        <color theme="1"/>
        <rFont val="Calibri"/>
        <family val="2"/>
        <scheme val="minor"/>
      </rPr>
      <t>more for one gender</t>
    </r>
    <r>
      <rPr>
        <sz val="11"/>
        <color theme="1"/>
        <rFont val="Calibri"/>
        <family val="2"/>
        <scheme val="minor"/>
      </rPr>
      <t xml:space="preserve"> (likely female). → Segment your experience strategy—what delights one group may not move the needle for another.</t>
    </r>
  </si>
  <si>
    <r>
      <t>Older Customers Are Higher Value</t>
    </r>
    <r>
      <rPr>
        <sz val="11"/>
        <color theme="1"/>
        <rFont val="Calibri"/>
        <family val="2"/>
        <scheme val="minor"/>
      </rPr>
      <t xml:space="preserve"> Each additional year of age adds </t>
    </r>
    <r>
      <rPr>
        <b/>
        <sz val="11"/>
        <color theme="1"/>
        <rFont val="Calibri"/>
        <family val="2"/>
        <scheme val="minor"/>
      </rPr>
      <t>$82</t>
    </r>
    <r>
      <rPr>
        <sz val="11"/>
        <color theme="1"/>
        <rFont val="Calibri"/>
        <family val="2"/>
        <scheme val="minor"/>
      </rPr>
      <t xml:space="preserve"> to revenue. → Consider age-specific messaging, loyalty tiers, or premium offerings.</t>
    </r>
  </si>
  <si>
    <r>
      <t>Website Engagement Is Directly Profitable</t>
    </r>
    <r>
      <rPr>
        <sz val="11"/>
        <color theme="1"/>
        <rFont val="Calibri"/>
        <family val="2"/>
        <scheme val="minor"/>
      </rPr>
      <t xml:space="preserve"> Every monthly visit adds </t>
    </r>
    <r>
      <rPr>
        <b/>
        <sz val="11"/>
        <color theme="1"/>
        <rFont val="Calibri"/>
        <family val="2"/>
        <scheme val="minor"/>
      </rPr>
      <t>$10.55</t>
    </r>
    <r>
      <rPr>
        <sz val="11"/>
        <color theme="1"/>
        <rFont val="Calibri"/>
        <family val="2"/>
        <scheme val="minor"/>
      </rPr>
      <t xml:space="preserve"> to revenue. → Optimize your site for repeat visits—think content, UX, and retargeting.</t>
    </r>
  </si>
  <si>
    <r>
      <t>Gender Alone Doesn’t Drive Revenue</t>
    </r>
    <r>
      <rPr>
        <sz val="11"/>
        <color theme="1"/>
        <rFont val="Calibri"/>
        <family val="2"/>
        <scheme val="minor"/>
      </rPr>
      <t xml:space="preserve"> The standalone gender variable isn’t statistically significant. → Avoid overgeneralizing based on gender—context matters more.</t>
    </r>
  </si>
  <si>
    <r>
      <t>Satisfaction Works Similarly Across Age Groups</t>
    </r>
    <r>
      <rPr>
        <sz val="11"/>
        <color theme="1"/>
        <rFont val="Calibri"/>
        <family val="2"/>
        <scheme val="minor"/>
      </rPr>
      <t xml:space="preserve"> The age × satisfaction interaction is insignificant. → No need to customize satisfaction efforts by age—focus on universal drivers.</t>
    </r>
  </si>
  <si>
    <r>
      <t>Model Reliability Is High</t>
    </r>
    <r>
      <rPr>
        <sz val="11"/>
        <color theme="1"/>
        <rFont val="Calibri"/>
        <family val="2"/>
        <scheme val="minor"/>
      </rPr>
      <t xml:space="preserve"> With </t>
    </r>
    <r>
      <rPr>
        <b/>
        <sz val="11"/>
        <color theme="1"/>
        <rFont val="Calibri"/>
        <family val="2"/>
        <scheme val="minor"/>
      </rPr>
      <t>R² = 0.889</t>
    </r>
    <r>
      <rPr>
        <sz val="11"/>
        <color theme="1"/>
        <rFont val="Calibri"/>
        <family val="2"/>
        <scheme val="minor"/>
      </rPr>
      <t>, your model explains nearly 89% of revenue variation. → You can confidently use this model for forecasting and strategic planning.</t>
    </r>
  </si>
  <si>
    <r>
      <t>Intercept Value Is Meaningful</t>
    </r>
    <r>
      <rPr>
        <sz val="11"/>
        <color theme="1"/>
        <rFont val="Calibri"/>
        <family val="2"/>
        <scheme val="minor"/>
      </rPr>
      <t xml:space="preserve"> The baseline revenue (when all predictors are zero) is </t>
    </r>
    <r>
      <rPr>
        <b/>
        <sz val="11"/>
        <color theme="1"/>
        <rFont val="Calibri"/>
        <family val="2"/>
        <scheme val="minor"/>
      </rPr>
      <t>$587.55</t>
    </r>
    <r>
      <rPr>
        <sz val="11"/>
        <color theme="1"/>
        <rFont val="Calibri"/>
        <family val="2"/>
        <scheme val="minor"/>
      </rPr>
      <t>. → Useful for benchmarking and understanding additive effects.</t>
    </r>
  </si>
  <si>
    <t>More in Business takeaways</t>
  </si>
  <si>
    <t>Column1</t>
  </si>
  <si>
    <t>Column2</t>
  </si>
  <si>
    <t>Column3</t>
  </si>
  <si>
    <t>(Categorical</t>
  </si>
  <si>
    <t>(Numeric)</t>
  </si>
  <si>
    <t>Slope:</t>
  </si>
  <si>
    <t>Intercept:</t>
  </si>
  <si>
    <t>Rsquared:</t>
  </si>
  <si>
    <t>Forecast</t>
  </si>
  <si>
    <t>Error</t>
  </si>
  <si>
    <t>Error2</t>
  </si>
  <si>
    <t>Time Index(t)</t>
  </si>
  <si>
    <t>Label</t>
  </si>
  <si>
    <t>K (Max Sales)</t>
  </si>
  <si>
    <t>r (Growth Rate)</t>
  </si>
  <si>
    <t>to (Inflection)</t>
  </si>
  <si>
    <t>SSE</t>
  </si>
  <si>
    <t>Gompertz Model</t>
  </si>
  <si>
    <t>Predicted Sales (Pearl)</t>
  </si>
  <si>
    <t>Model Overview</t>
  </si>
  <si>
    <t>Model</t>
  </si>
  <si>
    <t>Formula</t>
  </si>
  <si>
    <t>Behavior</t>
  </si>
  <si>
    <t>Pearl</t>
  </si>
  <si>
    <t>S(t)=K1+e−r(t−t0)S(t) = \frac{K}{1 + e^{-r(t - t_0)}}</t>
  </si>
  <si>
    <t>Symmetric growth</t>
  </si>
  <si>
    <t>Gompertz</t>
  </si>
  <si>
    <t>S(t)=K⋅e−e−r(t−t0)S(t) = K \cdot e^{-e^{-r(t - t_0)}}</t>
  </si>
  <si>
    <t>Asymmetric growth</t>
  </si>
  <si>
    <r>
      <t>K</t>
    </r>
    <r>
      <rPr>
        <sz val="11"/>
        <color theme="1"/>
        <rFont val="Calibri"/>
        <family val="2"/>
        <scheme val="minor"/>
      </rPr>
      <t>: Carrying capacity (max monthly sales)</t>
    </r>
  </si>
  <si>
    <r>
      <t>r</t>
    </r>
    <r>
      <rPr>
        <sz val="11"/>
        <color theme="1"/>
        <rFont val="Calibri"/>
        <family val="2"/>
        <scheme val="minor"/>
      </rPr>
      <t>: Growth rate</t>
    </r>
  </si>
  <si>
    <r>
      <t>t₀</t>
    </r>
    <r>
      <rPr>
        <sz val="11"/>
        <color theme="1"/>
        <rFont val="Calibri"/>
        <family val="2"/>
        <scheme val="minor"/>
      </rPr>
      <t>: Inflection point (time of fastest growth)</t>
    </r>
  </si>
  <si>
    <t>Model Fit Summary</t>
  </si>
  <si>
    <r>
      <t>Pearl Model</t>
    </r>
    <r>
      <rPr>
        <sz val="11"/>
        <color theme="1"/>
        <rFont val="Calibri"/>
        <family val="2"/>
        <scheme val="minor"/>
      </rPr>
      <t>:</t>
    </r>
  </si>
  <si>
    <t>Rapid growth from 2006 to ~2018</t>
  </si>
  <si>
    <t>Plateau begins around 2023</t>
  </si>
  <si>
    <r>
      <t xml:space="preserve">Forecasts stabilize near </t>
    </r>
    <r>
      <rPr>
        <b/>
        <sz val="11"/>
        <color theme="1"/>
        <rFont val="Calibri"/>
        <family val="2"/>
        <scheme val="minor"/>
      </rPr>
      <t>3470 cupcakes/month</t>
    </r>
  </si>
  <si>
    <r>
      <t>Gompertz Model</t>
    </r>
    <r>
      <rPr>
        <sz val="11"/>
        <color theme="1"/>
        <rFont val="Calibri"/>
        <family val="2"/>
        <scheme val="minor"/>
      </rPr>
      <t>:</t>
    </r>
  </si>
  <si>
    <t>Slower initial growth (values near 0 in 2006–2007)</t>
  </si>
  <si>
    <t>Matches actual sales closely post-2010</t>
  </si>
  <si>
    <r>
      <t xml:space="preserve">Also plateaus near </t>
    </r>
    <r>
      <rPr>
        <b/>
        <sz val="11"/>
        <color theme="1"/>
        <rFont val="Calibri"/>
        <family val="2"/>
        <scheme val="minor"/>
      </rPr>
      <t>3470 cupcakes/month</t>
    </r>
  </si>
  <si>
    <t>Forecast: 2026–2030</t>
  </si>
  <si>
    <t>Year</t>
  </si>
  <si>
    <t>Pearl Forecast</t>
  </si>
  <si>
    <t>Gompertz Forecast</t>
  </si>
  <si>
    <r>
      <t xml:space="preserve">The cupcakery experienced </t>
    </r>
    <r>
      <rPr>
        <b/>
        <sz val="11"/>
        <color theme="1"/>
        <rFont val="Calibri"/>
        <family val="2"/>
        <scheme val="minor"/>
      </rPr>
      <t>classic logistic growth</t>
    </r>
    <r>
      <rPr>
        <sz val="11"/>
        <color theme="1"/>
        <rFont val="Calibri"/>
        <family val="2"/>
        <scheme val="minor"/>
      </rPr>
      <t>: slow start, rapid expansion, and now approaching market saturation.</t>
    </r>
  </si>
  <si>
    <r>
      <t xml:space="preserve">The </t>
    </r>
    <r>
      <rPr>
        <b/>
        <sz val="11"/>
        <color theme="1"/>
        <rFont val="Calibri"/>
        <family val="2"/>
        <scheme val="minor"/>
      </rPr>
      <t>inflection point</t>
    </r>
    <r>
      <rPr>
        <sz val="11"/>
        <color theme="1"/>
        <rFont val="Calibri"/>
        <family val="2"/>
        <scheme val="minor"/>
      </rPr>
      <t xml:space="preserve"> occurred around 2015, when growth was fastest.</t>
    </r>
  </si>
  <si>
    <r>
      <t xml:space="preserve">The </t>
    </r>
    <r>
      <rPr>
        <b/>
        <sz val="11"/>
        <color theme="1"/>
        <rFont val="Calibri"/>
        <family val="2"/>
        <scheme val="minor"/>
      </rPr>
      <t>dip in 2019</t>
    </r>
    <r>
      <rPr>
        <sz val="11"/>
        <color theme="1"/>
        <rFont val="Calibri"/>
        <family val="2"/>
        <scheme val="minor"/>
      </rPr>
      <t xml:space="preserve"> is likely an anomaly (e.g. operational issue or external disruption).</t>
    </r>
  </si>
  <si>
    <t>From 2020 onward, sales rebounded and are now leveling off.</t>
  </si>
  <si>
    <t>Recommendation to the Owner</t>
  </si>
  <si>
    <r>
      <t xml:space="preserve">Opening a </t>
    </r>
    <r>
      <rPr>
        <b/>
        <sz val="11"/>
        <color theme="1"/>
        <rFont val="Calibri"/>
        <family val="2"/>
        <scheme val="minor"/>
      </rPr>
      <t>fourth location</t>
    </r>
    <r>
      <rPr>
        <sz val="11"/>
        <color theme="1"/>
        <rFont val="Calibri"/>
        <family val="2"/>
        <scheme val="minor"/>
      </rPr>
      <t xml:space="preserve"> is viable — but only under strategic conditions:</t>
    </r>
  </si>
  <si>
    <t>If pursuing expansion:</t>
  </si>
  <si>
    <r>
      <t>Target underserved markets</t>
    </r>
    <r>
      <rPr>
        <sz val="11"/>
        <color theme="1"/>
        <rFont val="Calibri"/>
        <family val="2"/>
        <scheme val="minor"/>
      </rPr>
      <t xml:space="preserve"> or new geographic areas</t>
    </r>
  </si>
  <si>
    <r>
      <t>Differentiate offerings</t>
    </r>
    <r>
      <rPr>
        <sz val="11"/>
        <color theme="1"/>
        <rFont val="Calibri"/>
        <family val="2"/>
        <scheme val="minor"/>
      </rPr>
      <t xml:space="preserve"> (e.g. seasonal flavors, catering, online orders)</t>
    </r>
  </si>
  <si>
    <r>
      <t>Leverage brand equity</t>
    </r>
    <r>
      <rPr>
        <sz val="11"/>
        <color theme="1"/>
        <rFont val="Calibri"/>
        <family val="2"/>
        <scheme val="minor"/>
      </rPr>
      <t xml:space="preserve"> from existing success</t>
    </r>
  </si>
  <si>
    <t>If optimizing current operations:</t>
  </si>
  <si>
    <r>
      <t xml:space="preserve">Focus on </t>
    </r>
    <r>
      <rPr>
        <b/>
        <sz val="11"/>
        <color theme="1"/>
        <rFont val="Calibri"/>
        <family val="2"/>
        <scheme val="minor"/>
      </rPr>
      <t>efficiency, loyalty programs, and product innovation</t>
    </r>
  </si>
  <si>
    <r>
      <t xml:space="preserve">Use forecast data to </t>
    </r>
    <r>
      <rPr>
        <b/>
        <sz val="11"/>
        <color theme="1"/>
        <rFont val="Calibri"/>
        <family val="2"/>
        <scheme val="minor"/>
      </rPr>
      <t>plan inventory, staffing, and marketing budgets</t>
    </r>
  </si>
  <si>
    <r>
      <t xml:space="preserve">Consider </t>
    </r>
    <r>
      <rPr>
        <b/>
        <sz val="11"/>
        <color theme="1"/>
        <rFont val="Calibri"/>
        <family val="2"/>
        <scheme val="minor"/>
      </rPr>
      <t>franchise or licensing</t>
    </r>
    <r>
      <rPr>
        <sz val="11"/>
        <color theme="1"/>
        <rFont val="Calibri"/>
        <family val="2"/>
        <scheme val="minor"/>
      </rPr>
      <t xml:space="preserve"> to scale without direct overhead</t>
    </r>
  </si>
  <si>
    <t>Date</t>
  </si>
  <si>
    <t>Number</t>
  </si>
  <si>
    <t>Forecast(Number)</t>
  </si>
  <si>
    <t>Lower Confidence Bound(Number)</t>
  </si>
  <si>
    <t>Upper Confidence Bound(Number)</t>
  </si>
  <si>
    <t>MAE</t>
  </si>
  <si>
    <t>🥑 Model Fit Summary — Avocado Sales Forecast</t>
  </si>
  <si>
    <t>Observation</t>
  </si>
  <si>
    <t>Historical sales from July 2022 to April 2025</t>
  </si>
  <si>
    <t>Used to train the regression model. Forecasts align closely with actuals during this period, validating model reliability.</t>
  </si>
  <si>
    <t>Seasonal peaks in summer months (e.g., July–August)</t>
  </si>
  <si>
    <t>Indicates consistent seasonal demand. Inventory planning should account for these predictable surges.</t>
  </si>
  <si>
    <t>Confidence bounds included</t>
  </si>
  <si>
    <t>Adds robustness to the forecast. Helps management prepare for best- and worst-case demand scenarios.</t>
  </si>
  <si>
    <t>Forecasts extend through 2027</t>
  </si>
  <si>
    <t>Enables long-term planning for procurement, promotions, and supplier contracts.</t>
  </si>
  <si>
    <t>Model captures trend and seasonality better than 6-month average</t>
  </si>
  <si>
    <t>Regression-based forecasting reduces overstocking and understocking risks compared to traditional methods.</t>
  </si>
  <si>
    <t>Recommendation to Management</t>
  </si>
  <si>
    <t>If pursuing proactive planning:</t>
  </si>
  <si>
    <r>
      <t>Use seasonal insights</t>
    </r>
    <r>
      <rPr>
        <sz val="11"/>
        <color theme="1"/>
        <rFont val="Calibri"/>
        <family val="2"/>
        <scheme val="minor"/>
      </rPr>
      <t xml:space="preserve"> to stock up ahead of peak months (e.g., summer) and scale down during dips.</t>
    </r>
  </si>
  <si>
    <r>
      <t>Negotiate supplier contracts</t>
    </r>
    <r>
      <rPr>
        <sz val="11"/>
        <color theme="1"/>
        <rFont val="Calibri"/>
        <family val="2"/>
        <scheme val="minor"/>
      </rPr>
      <t xml:space="preserve"> with flexible volume clauses based on forecast confidence intervals.</t>
    </r>
  </si>
  <si>
    <r>
      <t>Plan promotions</t>
    </r>
    <r>
      <rPr>
        <sz val="11"/>
        <color theme="1"/>
        <rFont val="Calibri"/>
        <family val="2"/>
        <scheme val="minor"/>
      </rPr>
      <t xml:space="preserve"> around forecasted dips to stimulate demand and smooth inventory turnover.</t>
    </r>
  </si>
  <si>
    <r>
      <t>Monitor forecast accuracy quarterly</t>
    </r>
    <r>
      <rPr>
        <sz val="11"/>
        <color theme="1"/>
        <rFont val="Calibri"/>
        <family val="2"/>
        <scheme val="minor"/>
      </rPr>
      <t xml:space="preserve"> using MAE and MAPE to refine the model.</t>
    </r>
  </si>
  <si>
    <r>
      <t>Incorporate forecasts into dashboarding tools</t>
    </r>
    <r>
      <rPr>
        <sz val="11"/>
        <color theme="1"/>
        <rFont val="Calibri"/>
        <family val="2"/>
        <scheme val="minor"/>
      </rPr>
      <t xml:space="preserve"> for real-time visibility across procurement and sales teams.</t>
    </r>
  </si>
  <si>
    <r>
      <t>Use lower and upper bounds</t>
    </r>
    <r>
      <rPr>
        <sz val="11"/>
        <color theme="1"/>
        <rFont val="Calibri"/>
        <family val="2"/>
        <scheme val="minor"/>
      </rPr>
      <t xml:space="preserve"> to simulate best- and worst-case scenarios for budgeting and logistics.</t>
    </r>
  </si>
  <si>
    <t>If expanding avocado offerings:</t>
  </si>
  <si>
    <r>
      <t xml:space="preserve">Consider </t>
    </r>
    <r>
      <rPr>
        <b/>
        <sz val="11"/>
        <color theme="1"/>
        <rFont val="Calibri"/>
        <family val="2"/>
        <scheme val="minor"/>
      </rPr>
      <t>product bundling</t>
    </r>
    <r>
      <rPr>
        <sz val="11"/>
        <color theme="1"/>
        <rFont val="Calibri"/>
        <family val="2"/>
        <scheme val="minor"/>
      </rPr>
      <t xml:space="preserve"> (e.g., guacamole kits) during high-demand months.</t>
    </r>
  </si>
  <si>
    <r>
      <t xml:space="preserve">Explore </t>
    </r>
    <r>
      <rPr>
        <b/>
        <sz val="11"/>
        <color theme="1"/>
        <rFont val="Calibri"/>
        <family val="2"/>
        <scheme val="minor"/>
      </rPr>
      <t>regional demand segmentation</t>
    </r>
    <r>
      <rPr>
        <sz val="11"/>
        <color theme="1"/>
        <rFont val="Calibri"/>
        <family val="2"/>
        <scheme val="minor"/>
      </rPr>
      <t xml:space="preserve"> if data supports geographic variation.</t>
    </r>
  </si>
  <si>
    <t>The regression-based avocado sales forecast offers a more accurate and responsive alternative to the traditional six-month average method. Historical alignment between actual and predicted values confirms model reliability, while confidence intervals provide a realistic range for planning.</t>
  </si>
  <si>
    <t>Seasonal trends are clearly captured, enabling smarter inventory decisions and promotional timing. Management is advised to use these forecasts for quarterly planning, supplier negotiations, and scenario modeling.</t>
  </si>
  <si>
    <t>Compared to prior methods, this approach reduces demand uncertainty and supports more agile, data-driven operations.</t>
  </si>
  <si>
    <t>Summary for Management</t>
  </si>
  <si>
    <t>AVACADO SALES PREDICTION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</si>
</sst>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43" formatCode="_(* #,##0.00_);_(* \(#,##0.00\);_(*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sz val="10"/>
      <color indexed="8"/>
      <name val="Verdana"/>
      <family val="2"/>
    </font>
    <font>
      <b/>
      <sz val="10"/>
      <color indexed="8"/>
      <name val="Verdana"/>
      <family val="2"/>
    </font>
    <font>
      <b/>
      <sz val="10"/>
      <name val="Arial"/>
      <family val="2"/>
    </font>
    <font>
      <sz val="10"/>
      <name val="Arial"/>
      <family val="2"/>
    </font>
    <font>
      <b/>
      <sz val="10"/>
      <name val="Times New Roman"/>
      <family val="1"/>
    </font>
    <font>
      <b/>
      <sz val="16"/>
      <color theme="1"/>
      <name val="Calibri"/>
      <family val="2"/>
      <scheme val="minor"/>
    </font>
    <font>
      <b/>
      <sz val="22"/>
      <color theme="1"/>
      <name val="Calibri"/>
      <family val="2"/>
      <scheme val="minor"/>
    </font>
    <font>
      <sz val="22"/>
      <color theme="1"/>
      <name val="Calibri"/>
      <family val="2"/>
      <scheme val="minor"/>
    </font>
    <font>
      <b/>
      <sz val="20"/>
      <color theme="1"/>
      <name val="Calibri"/>
      <family val="2"/>
      <scheme val="minor"/>
    </font>
    <font>
      <b/>
      <i/>
      <sz val="11"/>
      <color theme="1"/>
      <name val="Calibri"/>
      <family val="2"/>
      <scheme val="minor"/>
    </font>
    <font>
      <sz val="8"/>
      <name val="Calibri"/>
      <family val="2"/>
      <scheme val="minor"/>
    </font>
    <font>
      <b/>
      <sz val="13.5"/>
      <color theme="1"/>
      <name val="Calibri"/>
      <family val="2"/>
      <scheme val="minor"/>
    </font>
    <font>
      <b/>
      <sz val="18"/>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theme="4" tint="0.79998168889431442"/>
      </patternFill>
    </fill>
  </fills>
  <borders count="15">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bottom style="thin">
        <color auto="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
    <xf numFmtId="0" fontId="0" fillId="0" borderId="0"/>
    <xf numFmtId="43" fontId="1" fillId="0" borderId="0" applyFont="0" applyFill="0" applyBorder="0" applyAlignment="0" applyProtection="0"/>
    <xf numFmtId="0" fontId="4" fillId="0" borderId="0" applyNumberFormat="0">
      <alignment readingOrder="1"/>
      <protection locked="0"/>
    </xf>
    <xf numFmtId="0" fontId="7" fillId="0" borderId="0"/>
  </cellStyleXfs>
  <cellXfs count="64">
    <xf numFmtId="0" fontId="0" fillId="0" borderId="0" xfId="0"/>
    <xf numFmtId="0" fontId="2" fillId="0" borderId="0" xfId="0" applyFont="1" applyAlignment="1">
      <alignment horizontal="center"/>
    </xf>
    <xf numFmtId="0" fontId="2" fillId="0" borderId="0" xfId="0" applyFont="1" applyAlignment="1">
      <alignment horizontal="center" wrapText="1"/>
    </xf>
    <xf numFmtId="0" fontId="0" fillId="0" borderId="7" xfId="0" applyBorder="1" applyAlignment="1">
      <alignment vertical="top" wrapText="1"/>
    </xf>
    <xf numFmtId="0" fontId="0" fillId="2" borderId="9" xfId="0" applyFill="1" applyBorder="1" applyAlignment="1">
      <alignment vertical="top" wrapText="1"/>
    </xf>
    <xf numFmtId="0" fontId="0" fillId="2" borderId="4" xfId="0" applyFill="1" applyBorder="1" applyAlignment="1">
      <alignment vertical="top" wrapText="1"/>
    </xf>
    <xf numFmtId="0" fontId="2" fillId="0" borderId="0" xfId="0" applyFont="1"/>
    <xf numFmtId="14" fontId="5" fillId="0" borderId="0" xfId="2" applyNumberFormat="1" applyFont="1">
      <alignment readingOrder="1"/>
      <protection locked="0"/>
    </xf>
    <xf numFmtId="2" fontId="2" fillId="0" borderId="0" xfId="0" applyNumberFormat="1" applyFont="1"/>
    <xf numFmtId="0" fontId="6" fillId="0" borderId="0" xfId="0" applyFont="1"/>
    <xf numFmtId="1" fontId="2" fillId="0" borderId="0" xfId="0" applyNumberFormat="1" applyFont="1"/>
    <xf numFmtId="0" fontId="8" fillId="0" borderId="1" xfId="0" applyFont="1" applyBorder="1" applyAlignment="1">
      <alignment horizontal="center" wrapText="1"/>
    </xf>
    <xf numFmtId="0" fontId="3" fillId="0" borderId="0" xfId="0" applyFont="1" applyAlignment="1">
      <alignment horizontal="left"/>
    </xf>
    <xf numFmtId="1" fontId="8" fillId="0" borderId="0" xfId="0" applyNumberFormat="1" applyFont="1" applyAlignment="1">
      <alignment horizontal="right" wrapText="1"/>
    </xf>
    <xf numFmtId="1" fontId="8" fillId="0" borderId="0" xfId="0" applyNumberFormat="1" applyFont="1" applyAlignment="1">
      <alignment wrapText="1"/>
    </xf>
    <xf numFmtId="0" fontId="2" fillId="0" borderId="0" xfId="0" applyFont="1" applyAlignment="1">
      <alignment horizontal="right"/>
    </xf>
    <xf numFmtId="6" fontId="8" fillId="0" borderId="0" xfId="0" applyNumberFormat="1" applyFont="1" applyAlignment="1">
      <alignment wrapText="1"/>
    </xf>
    <xf numFmtId="1" fontId="8" fillId="0" borderId="0" xfId="1" applyNumberFormat="1" applyFont="1" applyAlignment="1">
      <alignment horizontal="center" wrapText="1"/>
    </xf>
    <xf numFmtId="49" fontId="0" fillId="0" borderId="0" xfId="0" applyNumberFormat="1"/>
    <xf numFmtId="49" fontId="0" fillId="0" borderId="0" xfId="0" applyNumberFormat="1" applyAlignment="1">
      <alignment horizontal="left" readingOrder="1"/>
    </xf>
    <xf numFmtId="0" fontId="0" fillId="0" borderId="0" xfId="0" applyAlignment="1">
      <alignment horizontal="left" readingOrder="1"/>
    </xf>
    <xf numFmtId="0" fontId="2" fillId="0" borderId="0" xfId="0" applyFont="1" applyAlignment="1">
      <alignment horizontal="center" vertical="top" wrapText="1"/>
    </xf>
    <xf numFmtId="0" fontId="0" fillId="0" borderId="0" xfId="0" applyAlignment="1">
      <alignment vertical="top"/>
    </xf>
    <xf numFmtId="0" fontId="0" fillId="0" borderId="0" xfId="0" applyAlignment="1">
      <alignment horizontal="left" vertical="top"/>
    </xf>
    <xf numFmtId="0" fontId="0" fillId="0" borderId="0" xfId="0" pivotButton="1"/>
    <xf numFmtId="0" fontId="0" fillId="0" borderId="0" xfId="0" applyAlignment="1">
      <alignment horizontal="left"/>
    </xf>
    <xf numFmtId="0" fontId="2" fillId="0" borderId="12" xfId="0" applyFont="1" applyBorder="1" applyAlignment="1">
      <alignment horizontal="center" vertical="top"/>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9" fillId="0" borderId="0" xfId="0" applyFont="1"/>
    <xf numFmtId="0" fontId="10" fillId="0" borderId="0" xfId="0" applyFont="1"/>
    <xf numFmtId="0" fontId="11" fillId="0" borderId="0" xfId="0" applyFont="1"/>
    <xf numFmtId="0" fontId="12" fillId="0" borderId="0" xfId="0" applyFont="1"/>
    <xf numFmtId="0" fontId="2" fillId="3" borderId="0" xfId="0" applyFont="1" applyFill="1"/>
    <xf numFmtId="0" fontId="13" fillId="3" borderId="11" xfId="0" applyFont="1" applyFill="1" applyBorder="1" applyAlignment="1">
      <alignment horizontal="centerContinuous"/>
    </xf>
    <xf numFmtId="0" fontId="2" fillId="3" borderId="10" xfId="0" applyFont="1" applyFill="1" applyBorder="1"/>
    <xf numFmtId="0" fontId="13" fillId="3" borderId="11" xfId="0" applyFont="1" applyFill="1" applyBorder="1" applyAlignment="1">
      <alignment horizontal="center"/>
    </xf>
    <xf numFmtId="1" fontId="0" fillId="0" borderId="0" xfId="0" applyNumberFormat="1"/>
    <xf numFmtId="2" fontId="0" fillId="0" borderId="0" xfId="0" applyNumberFormat="1"/>
    <xf numFmtId="0" fontId="2" fillId="0" borderId="0" xfId="0" applyFont="1" applyAlignment="1">
      <alignment horizontal="left" vertical="top"/>
    </xf>
    <xf numFmtId="1" fontId="5" fillId="0" borderId="0" xfId="2" applyNumberFormat="1" applyFont="1">
      <alignment readingOrder="1"/>
      <protection locked="0"/>
    </xf>
    <xf numFmtId="0" fontId="2" fillId="4" borderId="0" xfId="0" applyFont="1" applyFill="1"/>
    <xf numFmtId="0" fontId="15"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0" fillId="0" borderId="0" xfId="0" applyAlignment="1">
      <alignment horizontal="left" vertical="center" indent="2"/>
    </xf>
    <xf numFmtId="0" fontId="16" fillId="0" borderId="0" xfId="0" applyFont="1" applyAlignment="1">
      <alignment vertical="center"/>
    </xf>
    <xf numFmtId="14" fontId="0" fillId="0" borderId="0" xfId="0" applyNumberFormat="1"/>
    <xf numFmtId="14" fontId="0" fillId="5" borderId="13" xfId="0" applyNumberFormat="1" applyFill="1" applyBorder="1"/>
    <xf numFmtId="1" fontId="0" fillId="5" borderId="14" xfId="0" applyNumberFormat="1" applyFill="1" applyBorder="1"/>
    <xf numFmtId="14" fontId="0" fillId="0" borderId="13" xfId="0" applyNumberFormat="1" applyBorder="1"/>
    <xf numFmtId="1" fontId="0" fillId="0" borderId="14" xfId="0" applyNumberFormat="1" applyBorder="1"/>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0" xfId="0" applyFont="1" applyAlignment="1">
      <alignment horizontal="left" vertical="top" wrapText="1"/>
    </xf>
    <xf numFmtId="0" fontId="3" fillId="0" borderId="1" xfId="0" applyFont="1" applyBorder="1" applyAlignment="1">
      <alignment horizontal="center"/>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8" xfId="0" applyFont="1" applyBorder="1" applyAlignment="1">
      <alignment horizontal="left" vertical="top" wrapText="1"/>
    </xf>
    <xf numFmtId="0" fontId="2" fillId="0" borderId="1" xfId="0" applyFont="1" applyBorder="1" applyAlignment="1">
      <alignment horizontal="left" vertical="top" wrapText="1"/>
    </xf>
    <xf numFmtId="0" fontId="0" fillId="2" borderId="7" xfId="0" applyFill="1" applyBorder="1" applyAlignment="1">
      <alignment horizontal="center" vertical="top" wrapText="1"/>
    </xf>
    <xf numFmtId="0" fontId="0" fillId="2" borderId="9" xfId="0" applyFill="1" applyBorder="1" applyAlignment="1">
      <alignment horizontal="center" vertical="top" wrapText="1"/>
    </xf>
    <xf numFmtId="0" fontId="6" fillId="0" borderId="0" xfId="3" applyFont="1" applyAlignment="1">
      <alignment horizontal="left" vertical="top" wrapText="1"/>
    </xf>
  </cellXfs>
  <cellStyles count="4">
    <cellStyle name="_DateRange" xfId="2" xr:uid="{F5F765A4-FCC4-44BE-8B09-5C222E70DBE7}"/>
    <cellStyle name="Comma" xfId="1" builtinId="3"/>
    <cellStyle name="Normal" xfId="0" builtinId="0"/>
    <cellStyle name="Normal 2" xfId="3" xr:uid="{ED21B237-3AC4-48C3-9A93-00669B8B9678}"/>
  </cellStyles>
  <dxfs count="29">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0" indent="1" justifyLastLine="0" shrinkToFit="0" readingOrder="0"/>
    </dxf>
    <dxf>
      <numFmt numFmtId="2" formatCode="0.00"/>
    </dxf>
    <dxf>
      <numFmt numFmtId="1" formatCode="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left" vertical="top" textRotation="0" wrapText="0" indent="0" justifyLastLine="0" shrinkToFit="0" readingOrder="0"/>
    </dxf>
    <dxf>
      <numFmt numFmtId="0" formatCode="General"/>
      <alignment horizontal="left" vertical="bottom" textRotation="0" wrapText="0" indent="0" justifyLastLine="0" shrinkToFit="0" readingOrder="1"/>
    </dxf>
    <dxf>
      <numFmt numFmtId="30" formatCode="@"/>
    </dxf>
    <dxf>
      <numFmt numFmtId="30" formatCode="@"/>
      <alignment horizontal="left" vertical="bottom" textRotation="0" wrapText="0" indent="0" justifyLastLine="0" shrinkToFit="0" readingOrder="1"/>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numFmt numFmtId="1" formatCode="0"/>
    </dxf>
    <dxf>
      <numFmt numFmtId="1" formatCode="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calcChain" Target="calcChain.xml"/><Relationship Id="rId10" Type="http://schemas.openxmlformats.org/officeDocument/2006/relationships/externalLink" Target="externalLinks/externalLink5.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'Regression (2)'!$B$2</c:f>
              <c:strCache>
                <c:ptCount val="1"/>
                <c:pt idx="0">
                  <c:v>Demand
(x10,000)</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7417793706019305"/>
                  <c:y val="-1.906474820143884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'Regression (2)'!$A$3:$A$6</c:f>
              <c:numCache>
                <c:formatCode>0</c:formatCode>
                <c:ptCount val="4"/>
                <c:pt idx="0">
                  <c:v>2010</c:v>
                </c:pt>
                <c:pt idx="1">
                  <c:v>2015</c:v>
                </c:pt>
                <c:pt idx="2">
                  <c:v>2020</c:v>
                </c:pt>
                <c:pt idx="3">
                  <c:v>2025</c:v>
                </c:pt>
              </c:numCache>
            </c:numRef>
          </c:xVal>
          <c:yVal>
            <c:numRef>
              <c:f>'Regression (2)'!$B$3:$B$6</c:f>
              <c:numCache>
                <c:formatCode>0</c:formatCode>
                <c:ptCount val="4"/>
                <c:pt idx="0">
                  <c:v>50</c:v>
                </c:pt>
                <c:pt idx="1">
                  <c:v>87</c:v>
                </c:pt>
                <c:pt idx="2">
                  <c:v>195</c:v>
                </c:pt>
                <c:pt idx="3">
                  <c:v>493</c:v>
                </c:pt>
              </c:numCache>
            </c:numRef>
          </c:yVal>
          <c:smooth val="0"/>
          <c:extLst>
            <c:ext xmlns:c16="http://schemas.microsoft.com/office/drawing/2014/chart" uri="{C3380CC4-5D6E-409C-BE32-E72D297353CC}">
              <c16:uniqueId val="{00000000-7A12-413A-A394-9E14BD39F4D9}"/>
            </c:ext>
          </c:extLst>
        </c:ser>
        <c:dLbls>
          <c:showLegendKey val="0"/>
          <c:showVal val="0"/>
          <c:showCatName val="0"/>
          <c:showSerName val="0"/>
          <c:showPercent val="0"/>
          <c:showBubbleSize val="0"/>
        </c:dLbls>
        <c:axId val="874187359"/>
        <c:axId val="874187839"/>
      </c:scatterChart>
      <c:valAx>
        <c:axId val="8741873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187839"/>
        <c:crosses val="autoZero"/>
        <c:crossBetween val="midCat"/>
      </c:valAx>
      <c:valAx>
        <c:axId val="874187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1873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358705161854769E-2"/>
          <c:y val="0.19486111111111112"/>
          <c:w val="0.83621084864391948"/>
          <c:h val="0.72088764946048411"/>
        </c:manualLayout>
      </c:layout>
      <c:scatterChart>
        <c:scatterStyle val="smoothMarker"/>
        <c:varyColors val="0"/>
        <c:ser>
          <c:idx val="0"/>
          <c:order val="0"/>
          <c:tx>
            <c:strRef>
              <c:f>'Avocado Data'!$B$8</c:f>
              <c:strCache>
                <c:ptCount val="1"/>
                <c:pt idx="0">
                  <c:v>Number</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'Avocado Data'!$A$9:$A$42</c:f>
              <c:numCache>
                <c:formatCode>m/d/yyyy</c:formatCode>
                <c:ptCount val="34"/>
                <c:pt idx="0">
                  <c:v>44743</c:v>
                </c:pt>
                <c:pt idx="1">
                  <c:v>44774</c:v>
                </c:pt>
                <c:pt idx="2">
                  <c:v>44805</c:v>
                </c:pt>
                <c:pt idx="3">
                  <c:v>44835</c:v>
                </c:pt>
                <c:pt idx="4">
                  <c:v>44866</c:v>
                </c:pt>
                <c:pt idx="5">
                  <c:v>44896</c:v>
                </c:pt>
                <c:pt idx="6">
                  <c:v>44927</c:v>
                </c:pt>
                <c:pt idx="7">
                  <c:v>44958</c:v>
                </c:pt>
                <c:pt idx="8">
                  <c:v>44986</c:v>
                </c:pt>
                <c:pt idx="9">
                  <c:v>45017</c:v>
                </c:pt>
                <c:pt idx="10">
                  <c:v>45047</c:v>
                </c:pt>
                <c:pt idx="11">
                  <c:v>45078</c:v>
                </c:pt>
                <c:pt idx="12">
                  <c:v>45108</c:v>
                </c:pt>
                <c:pt idx="13">
                  <c:v>45139</c:v>
                </c:pt>
                <c:pt idx="14">
                  <c:v>45170</c:v>
                </c:pt>
                <c:pt idx="15">
                  <c:v>45200</c:v>
                </c:pt>
                <c:pt idx="16">
                  <c:v>45231</c:v>
                </c:pt>
                <c:pt idx="17">
                  <c:v>45261</c:v>
                </c:pt>
                <c:pt idx="18">
                  <c:v>45292</c:v>
                </c:pt>
                <c:pt idx="19">
                  <c:v>45323</c:v>
                </c:pt>
                <c:pt idx="20">
                  <c:v>45352</c:v>
                </c:pt>
                <c:pt idx="21">
                  <c:v>45383</c:v>
                </c:pt>
                <c:pt idx="22">
                  <c:v>45413</c:v>
                </c:pt>
                <c:pt idx="23">
                  <c:v>45444</c:v>
                </c:pt>
                <c:pt idx="24">
                  <c:v>45474</c:v>
                </c:pt>
                <c:pt idx="25">
                  <c:v>45505</c:v>
                </c:pt>
                <c:pt idx="26">
                  <c:v>45536</c:v>
                </c:pt>
                <c:pt idx="27">
                  <c:v>45566</c:v>
                </c:pt>
                <c:pt idx="28">
                  <c:v>45597</c:v>
                </c:pt>
                <c:pt idx="29">
                  <c:v>44896</c:v>
                </c:pt>
                <c:pt idx="30">
                  <c:v>45658</c:v>
                </c:pt>
                <c:pt idx="31">
                  <c:v>45689</c:v>
                </c:pt>
                <c:pt idx="32">
                  <c:v>45717</c:v>
                </c:pt>
                <c:pt idx="33">
                  <c:v>45748</c:v>
                </c:pt>
              </c:numCache>
            </c:numRef>
          </c:xVal>
          <c:yVal>
            <c:numRef>
              <c:f>'Avocado Data'!$B$9:$B$42</c:f>
              <c:numCache>
                <c:formatCode>0</c:formatCode>
                <c:ptCount val="34"/>
                <c:pt idx="0">
                  <c:v>250</c:v>
                </c:pt>
                <c:pt idx="1">
                  <c:v>239</c:v>
                </c:pt>
                <c:pt idx="2">
                  <c:v>207</c:v>
                </c:pt>
                <c:pt idx="3">
                  <c:v>212</c:v>
                </c:pt>
                <c:pt idx="4">
                  <c:v>262</c:v>
                </c:pt>
                <c:pt idx="5">
                  <c:v>271</c:v>
                </c:pt>
                <c:pt idx="6">
                  <c:v>213</c:v>
                </c:pt>
                <c:pt idx="7">
                  <c:v>209</c:v>
                </c:pt>
                <c:pt idx="8">
                  <c:v>239</c:v>
                </c:pt>
                <c:pt idx="9">
                  <c:v>262</c:v>
                </c:pt>
                <c:pt idx="10">
                  <c:v>293</c:v>
                </c:pt>
                <c:pt idx="11">
                  <c:v>323</c:v>
                </c:pt>
                <c:pt idx="12">
                  <c:v>343</c:v>
                </c:pt>
                <c:pt idx="13">
                  <c:v>327</c:v>
                </c:pt>
                <c:pt idx="14">
                  <c:v>313</c:v>
                </c:pt>
                <c:pt idx="15">
                  <c:v>320</c:v>
                </c:pt>
                <c:pt idx="16">
                  <c:v>347</c:v>
                </c:pt>
                <c:pt idx="17">
                  <c:v>376</c:v>
                </c:pt>
                <c:pt idx="18">
                  <c:v>322</c:v>
                </c:pt>
                <c:pt idx="19">
                  <c:v>316</c:v>
                </c:pt>
                <c:pt idx="20">
                  <c:v>342</c:v>
                </c:pt>
                <c:pt idx="21">
                  <c:v>354</c:v>
                </c:pt>
                <c:pt idx="22">
                  <c:v>402</c:v>
                </c:pt>
                <c:pt idx="23">
                  <c:v>415</c:v>
                </c:pt>
                <c:pt idx="24">
                  <c:v>447</c:v>
                </c:pt>
                <c:pt idx="25">
                  <c:v>435</c:v>
                </c:pt>
                <c:pt idx="26">
                  <c:v>399</c:v>
                </c:pt>
                <c:pt idx="27">
                  <c:v>408</c:v>
                </c:pt>
                <c:pt idx="28">
                  <c:v>456</c:v>
                </c:pt>
                <c:pt idx="29">
                  <c:v>463</c:v>
                </c:pt>
                <c:pt idx="30">
                  <c:v>419</c:v>
                </c:pt>
                <c:pt idx="31">
                  <c:v>402</c:v>
                </c:pt>
                <c:pt idx="32">
                  <c:v>446</c:v>
                </c:pt>
                <c:pt idx="33">
                  <c:v>451</c:v>
                </c:pt>
              </c:numCache>
            </c:numRef>
          </c:yVal>
          <c:smooth val="1"/>
          <c:extLst>
            <c:ext xmlns:c16="http://schemas.microsoft.com/office/drawing/2014/chart" uri="{C3380CC4-5D6E-409C-BE32-E72D297353CC}">
              <c16:uniqueId val="{00000000-9616-4EFE-A73B-3247152D5239}"/>
            </c:ext>
          </c:extLst>
        </c:ser>
        <c:dLbls>
          <c:showLegendKey val="0"/>
          <c:showVal val="0"/>
          <c:showCatName val="0"/>
          <c:showSerName val="0"/>
          <c:showPercent val="0"/>
          <c:showBubbleSize val="0"/>
        </c:dLbls>
        <c:axId val="1225592031"/>
        <c:axId val="1225592991"/>
      </c:scatterChart>
      <c:valAx>
        <c:axId val="1225592031"/>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2991"/>
        <c:crosses val="autoZero"/>
        <c:crossBetween val="midCat"/>
      </c:valAx>
      <c:valAx>
        <c:axId val="1225592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20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'Avocado Data'!$B$8</c:f>
              <c:strCache>
                <c:ptCount val="1"/>
                <c:pt idx="0">
                  <c:v>Number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numRef>
              <c:f>'Avocado Data'!$A$9:$A$42</c:f>
              <c:numCache>
                <c:formatCode>m/d/yyyy</c:formatCode>
                <c:ptCount val="34"/>
                <c:pt idx="0">
                  <c:v>44743</c:v>
                </c:pt>
                <c:pt idx="1">
                  <c:v>44774</c:v>
                </c:pt>
                <c:pt idx="2">
                  <c:v>44805</c:v>
                </c:pt>
                <c:pt idx="3">
                  <c:v>44835</c:v>
                </c:pt>
                <c:pt idx="4">
                  <c:v>44866</c:v>
                </c:pt>
                <c:pt idx="5">
                  <c:v>44896</c:v>
                </c:pt>
                <c:pt idx="6">
                  <c:v>44927</c:v>
                </c:pt>
                <c:pt idx="7">
                  <c:v>44958</c:v>
                </c:pt>
                <c:pt idx="8">
                  <c:v>44986</c:v>
                </c:pt>
                <c:pt idx="9">
                  <c:v>45017</c:v>
                </c:pt>
                <c:pt idx="10">
                  <c:v>45047</c:v>
                </c:pt>
                <c:pt idx="11">
                  <c:v>45078</c:v>
                </c:pt>
                <c:pt idx="12">
                  <c:v>45108</c:v>
                </c:pt>
                <c:pt idx="13">
                  <c:v>45139</c:v>
                </c:pt>
                <c:pt idx="14">
                  <c:v>45170</c:v>
                </c:pt>
                <c:pt idx="15">
                  <c:v>45200</c:v>
                </c:pt>
                <c:pt idx="16">
                  <c:v>45231</c:v>
                </c:pt>
                <c:pt idx="17">
                  <c:v>45261</c:v>
                </c:pt>
                <c:pt idx="18">
                  <c:v>45292</c:v>
                </c:pt>
                <c:pt idx="19">
                  <c:v>45323</c:v>
                </c:pt>
                <c:pt idx="20">
                  <c:v>45352</c:v>
                </c:pt>
                <c:pt idx="21">
                  <c:v>45383</c:v>
                </c:pt>
                <c:pt idx="22">
                  <c:v>45413</c:v>
                </c:pt>
                <c:pt idx="23">
                  <c:v>45444</c:v>
                </c:pt>
                <c:pt idx="24">
                  <c:v>45474</c:v>
                </c:pt>
                <c:pt idx="25">
                  <c:v>45505</c:v>
                </c:pt>
                <c:pt idx="26">
                  <c:v>45536</c:v>
                </c:pt>
                <c:pt idx="27">
                  <c:v>45566</c:v>
                </c:pt>
                <c:pt idx="28">
                  <c:v>45597</c:v>
                </c:pt>
                <c:pt idx="29">
                  <c:v>44896</c:v>
                </c:pt>
                <c:pt idx="30">
                  <c:v>45658</c:v>
                </c:pt>
                <c:pt idx="31">
                  <c:v>45689</c:v>
                </c:pt>
                <c:pt idx="32">
                  <c:v>45717</c:v>
                </c:pt>
                <c:pt idx="33">
                  <c:v>45748</c:v>
                </c:pt>
              </c:numCache>
            </c:numRef>
          </c:cat>
          <c:val>
            <c:numRef>
              <c:f>'Avocado Data'!$B$9:$B$42</c:f>
              <c:numCache>
                <c:formatCode>0</c:formatCode>
                <c:ptCount val="34"/>
                <c:pt idx="0">
                  <c:v>250</c:v>
                </c:pt>
                <c:pt idx="1">
                  <c:v>239</c:v>
                </c:pt>
                <c:pt idx="2">
                  <c:v>207</c:v>
                </c:pt>
                <c:pt idx="3">
                  <c:v>212</c:v>
                </c:pt>
                <c:pt idx="4">
                  <c:v>262</c:v>
                </c:pt>
                <c:pt idx="5">
                  <c:v>271</c:v>
                </c:pt>
                <c:pt idx="6">
                  <c:v>213</c:v>
                </c:pt>
                <c:pt idx="7">
                  <c:v>209</c:v>
                </c:pt>
                <c:pt idx="8">
                  <c:v>239</c:v>
                </c:pt>
                <c:pt idx="9">
                  <c:v>262</c:v>
                </c:pt>
                <c:pt idx="10">
                  <c:v>293</c:v>
                </c:pt>
                <c:pt idx="11">
                  <c:v>323</c:v>
                </c:pt>
                <c:pt idx="12">
                  <c:v>343</c:v>
                </c:pt>
                <c:pt idx="13">
                  <c:v>327</c:v>
                </c:pt>
                <c:pt idx="14">
                  <c:v>313</c:v>
                </c:pt>
                <c:pt idx="15">
                  <c:v>320</c:v>
                </c:pt>
                <c:pt idx="16">
                  <c:v>347</c:v>
                </c:pt>
                <c:pt idx="17">
                  <c:v>376</c:v>
                </c:pt>
                <c:pt idx="18">
                  <c:v>322</c:v>
                </c:pt>
                <c:pt idx="19">
                  <c:v>316</c:v>
                </c:pt>
                <c:pt idx="20">
                  <c:v>342</c:v>
                </c:pt>
                <c:pt idx="21">
                  <c:v>354</c:v>
                </c:pt>
                <c:pt idx="22">
                  <c:v>402</c:v>
                </c:pt>
                <c:pt idx="23">
                  <c:v>415</c:v>
                </c:pt>
                <c:pt idx="24">
                  <c:v>447</c:v>
                </c:pt>
                <c:pt idx="25">
                  <c:v>435</c:v>
                </c:pt>
                <c:pt idx="26">
                  <c:v>399</c:v>
                </c:pt>
                <c:pt idx="27">
                  <c:v>408</c:v>
                </c:pt>
                <c:pt idx="28">
                  <c:v>456</c:v>
                </c:pt>
                <c:pt idx="29">
                  <c:v>463</c:v>
                </c:pt>
                <c:pt idx="30">
                  <c:v>419</c:v>
                </c:pt>
                <c:pt idx="31">
                  <c:v>402</c:v>
                </c:pt>
                <c:pt idx="32">
                  <c:v>446</c:v>
                </c:pt>
                <c:pt idx="33">
                  <c:v>451</c:v>
                </c:pt>
              </c:numCache>
            </c:numRef>
          </c:val>
          <c:smooth val="0"/>
          <c:extLst>
            <c:ext xmlns:c16="http://schemas.microsoft.com/office/drawing/2014/chart" uri="{C3380CC4-5D6E-409C-BE32-E72D297353CC}">
              <c16:uniqueId val="{00000000-EF07-4AFD-A097-6B8C0CD99254}"/>
            </c:ext>
          </c:extLst>
        </c:ser>
        <c:dLbls>
          <c:dLblPos val="t"/>
          <c:showLegendKey val="0"/>
          <c:showVal val="1"/>
          <c:showCatName val="0"/>
          <c:showSerName val="0"/>
          <c:showPercent val="0"/>
          <c:showBubbleSize val="0"/>
        </c:dLbls>
        <c:marker val="1"/>
        <c:smooth val="0"/>
        <c:axId val="637795904"/>
        <c:axId val="637785344"/>
      </c:lineChart>
      <c:dateAx>
        <c:axId val="63779590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85344"/>
        <c:crosses val="autoZero"/>
        <c:auto val="1"/>
        <c:lblOffset val="100"/>
        <c:baseTimeUnit val="days"/>
      </c:dateAx>
      <c:valAx>
        <c:axId val="637785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9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Prediction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462761183546987E-2"/>
          <c:y val="2.7677279838655745E-2"/>
          <c:w val="0.93672419728372325"/>
          <c:h val="0.80649235800355201"/>
        </c:manualLayout>
      </c:layout>
      <c:lineChart>
        <c:grouping val="standard"/>
        <c:varyColors val="0"/>
        <c:ser>
          <c:idx val="0"/>
          <c:order val="0"/>
          <c:tx>
            <c:strRef>
              <c:f>Sheet1!$B$1</c:f>
              <c:strCache>
                <c:ptCount val="1"/>
                <c:pt idx="0">
                  <c:v>Number</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val>
            <c:numRef>
              <c:f>Sheet1!$B$2:$B$59</c:f>
              <c:numCache>
                <c:formatCode>0</c:formatCode>
                <c:ptCount val="58"/>
                <c:pt idx="0">
                  <c:v>250</c:v>
                </c:pt>
                <c:pt idx="1">
                  <c:v>239</c:v>
                </c:pt>
                <c:pt idx="2">
                  <c:v>207</c:v>
                </c:pt>
                <c:pt idx="3">
                  <c:v>212</c:v>
                </c:pt>
                <c:pt idx="4">
                  <c:v>262</c:v>
                </c:pt>
                <c:pt idx="5">
                  <c:v>367</c:v>
                </c:pt>
                <c:pt idx="6">
                  <c:v>213</c:v>
                </c:pt>
                <c:pt idx="7">
                  <c:v>209</c:v>
                </c:pt>
                <c:pt idx="8">
                  <c:v>239</c:v>
                </c:pt>
                <c:pt idx="9">
                  <c:v>262</c:v>
                </c:pt>
                <c:pt idx="10">
                  <c:v>293</c:v>
                </c:pt>
                <c:pt idx="11">
                  <c:v>323</c:v>
                </c:pt>
                <c:pt idx="12">
                  <c:v>343</c:v>
                </c:pt>
                <c:pt idx="13">
                  <c:v>327</c:v>
                </c:pt>
                <c:pt idx="14">
                  <c:v>313</c:v>
                </c:pt>
                <c:pt idx="15">
                  <c:v>320</c:v>
                </c:pt>
                <c:pt idx="16">
                  <c:v>347</c:v>
                </c:pt>
                <c:pt idx="17">
                  <c:v>376</c:v>
                </c:pt>
                <c:pt idx="18">
                  <c:v>322</c:v>
                </c:pt>
                <c:pt idx="19">
                  <c:v>316</c:v>
                </c:pt>
                <c:pt idx="20">
                  <c:v>342</c:v>
                </c:pt>
                <c:pt idx="21">
                  <c:v>354</c:v>
                </c:pt>
                <c:pt idx="22">
                  <c:v>402</c:v>
                </c:pt>
                <c:pt idx="23">
                  <c:v>415</c:v>
                </c:pt>
                <c:pt idx="24">
                  <c:v>447</c:v>
                </c:pt>
                <c:pt idx="25">
                  <c:v>435</c:v>
                </c:pt>
                <c:pt idx="26">
                  <c:v>399</c:v>
                </c:pt>
                <c:pt idx="27">
                  <c:v>408</c:v>
                </c:pt>
                <c:pt idx="28">
                  <c:v>456</c:v>
                </c:pt>
                <c:pt idx="29">
                  <c:v>437.5</c:v>
                </c:pt>
                <c:pt idx="30">
                  <c:v>419</c:v>
                </c:pt>
                <c:pt idx="31">
                  <c:v>402</c:v>
                </c:pt>
                <c:pt idx="32">
                  <c:v>446</c:v>
                </c:pt>
                <c:pt idx="33">
                  <c:v>451</c:v>
                </c:pt>
              </c:numCache>
            </c:numRef>
          </c:val>
          <c:smooth val="0"/>
          <c:extLst>
            <c:ext xmlns:c16="http://schemas.microsoft.com/office/drawing/2014/chart" uri="{C3380CC4-5D6E-409C-BE32-E72D297353CC}">
              <c16:uniqueId val="{00000000-2D34-47AA-B362-36AC4D5EF260}"/>
            </c:ext>
          </c:extLst>
        </c:ser>
        <c:ser>
          <c:idx val="1"/>
          <c:order val="1"/>
          <c:tx>
            <c:strRef>
              <c:f>Sheet1!$C$1</c:f>
              <c:strCache>
                <c:ptCount val="1"/>
                <c:pt idx="0">
                  <c:v>Forecast(Number)</c:v>
                </c:pt>
              </c:strCache>
            </c:strRef>
          </c:tx>
          <c:spPr>
            <a:ln w="25400" cap="rnd">
              <a:solidFill>
                <a:schemeClr val="accent2"/>
              </a:solidFill>
              <a:round/>
            </a:ln>
            <a:effectLst/>
          </c:spPr>
          <c:marker>
            <c:symbol val="none"/>
          </c:marker>
          <c:dLbls>
            <c:dLbl>
              <c:idx val="46"/>
              <c:delete val="1"/>
              <c:extLst>
                <c:ext xmlns:c15="http://schemas.microsoft.com/office/drawing/2012/chart" uri="{CE6537A1-D6FC-4f65-9D91-7224C49458BB}"/>
                <c:ext xmlns:c16="http://schemas.microsoft.com/office/drawing/2014/chart" uri="{C3380CC4-5D6E-409C-BE32-E72D297353CC}">
                  <c16:uniqueId val="{00000001-B3B5-436B-9B0B-800138E223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errBars>
            <c:errDir val="y"/>
            <c:errBarType val="both"/>
            <c:errValType val="stdErr"/>
            <c:noEndCap val="0"/>
            <c:spPr>
              <a:noFill/>
              <a:ln w="9525" cap="flat" cmpd="sng" algn="ctr">
                <a:solidFill>
                  <a:schemeClr val="tx1">
                    <a:lumMod val="65000"/>
                    <a:lumOff val="35000"/>
                  </a:schemeClr>
                </a:solidFill>
                <a:round/>
              </a:ln>
              <a:effectLst/>
            </c:spPr>
          </c:errBars>
          <c:cat>
            <c:numRef>
              <c:f>Sheet1!$A$2:$A$59</c:f>
              <c:numCache>
                <c:formatCode>m/d/yyyy</c:formatCode>
                <c:ptCount val="58"/>
                <c:pt idx="0">
                  <c:v>44743</c:v>
                </c:pt>
                <c:pt idx="1">
                  <c:v>44774</c:v>
                </c:pt>
                <c:pt idx="2">
                  <c:v>44805</c:v>
                </c:pt>
                <c:pt idx="3">
                  <c:v>44835</c:v>
                </c:pt>
                <c:pt idx="4">
                  <c:v>44866</c:v>
                </c:pt>
                <c:pt idx="5">
                  <c:v>44896</c:v>
                </c:pt>
                <c:pt idx="6">
                  <c:v>44927</c:v>
                </c:pt>
                <c:pt idx="7">
                  <c:v>44958</c:v>
                </c:pt>
                <c:pt idx="8">
                  <c:v>44986</c:v>
                </c:pt>
                <c:pt idx="9">
                  <c:v>45017</c:v>
                </c:pt>
                <c:pt idx="10">
                  <c:v>45047</c:v>
                </c:pt>
                <c:pt idx="11">
                  <c:v>45078</c:v>
                </c:pt>
                <c:pt idx="12">
                  <c:v>45108</c:v>
                </c:pt>
                <c:pt idx="13">
                  <c:v>45139</c:v>
                </c:pt>
                <c:pt idx="14">
                  <c:v>45170</c:v>
                </c:pt>
                <c:pt idx="15">
                  <c:v>45200</c:v>
                </c:pt>
                <c:pt idx="16">
                  <c:v>45231</c:v>
                </c:pt>
                <c:pt idx="17">
                  <c:v>45261</c:v>
                </c:pt>
                <c:pt idx="18">
                  <c:v>45292</c:v>
                </c:pt>
                <c:pt idx="19">
                  <c:v>45323</c:v>
                </c:pt>
                <c:pt idx="20">
                  <c:v>45352</c:v>
                </c:pt>
                <c:pt idx="21">
                  <c:v>45383</c:v>
                </c:pt>
                <c:pt idx="22">
                  <c:v>45413</c:v>
                </c:pt>
                <c:pt idx="23">
                  <c:v>45444</c:v>
                </c:pt>
                <c:pt idx="24">
                  <c:v>45474</c:v>
                </c:pt>
                <c:pt idx="25">
                  <c:v>45505</c:v>
                </c:pt>
                <c:pt idx="26">
                  <c:v>45536</c:v>
                </c:pt>
                <c:pt idx="27">
                  <c:v>45566</c:v>
                </c:pt>
                <c:pt idx="28">
                  <c:v>45597</c:v>
                </c:pt>
                <c:pt idx="29">
                  <c:v>45627</c:v>
                </c:pt>
                <c:pt idx="30">
                  <c:v>45658</c:v>
                </c:pt>
                <c:pt idx="31">
                  <c:v>45689</c:v>
                </c:pt>
                <c:pt idx="32">
                  <c:v>45717</c:v>
                </c:pt>
                <c:pt idx="33">
                  <c:v>45748</c:v>
                </c:pt>
                <c:pt idx="34">
                  <c:v>45778</c:v>
                </c:pt>
                <c:pt idx="35">
                  <c:v>45809</c:v>
                </c:pt>
                <c:pt idx="36">
                  <c:v>45839</c:v>
                </c:pt>
                <c:pt idx="37">
                  <c:v>45870</c:v>
                </c:pt>
                <c:pt idx="38">
                  <c:v>45901</c:v>
                </c:pt>
                <c:pt idx="39">
                  <c:v>45931</c:v>
                </c:pt>
                <c:pt idx="40">
                  <c:v>45962</c:v>
                </c:pt>
                <c:pt idx="41">
                  <c:v>45992</c:v>
                </c:pt>
                <c:pt idx="42">
                  <c:v>46023</c:v>
                </c:pt>
                <c:pt idx="43">
                  <c:v>46054</c:v>
                </c:pt>
                <c:pt idx="44">
                  <c:v>46082</c:v>
                </c:pt>
                <c:pt idx="45">
                  <c:v>46113</c:v>
                </c:pt>
                <c:pt idx="46">
                  <c:v>46143</c:v>
                </c:pt>
                <c:pt idx="47">
                  <c:v>46174</c:v>
                </c:pt>
                <c:pt idx="48">
                  <c:v>46204</c:v>
                </c:pt>
                <c:pt idx="49">
                  <c:v>46235</c:v>
                </c:pt>
                <c:pt idx="50">
                  <c:v>46266</c:v>
                </c:pt>
                <c:pt idx="51">
                  <c:v>46296</c:v>
                </c:pt>
                <c:pt idx="52">
                  <c:v>46327</c:v>
                </c:pt>
                <c:pt idx="53">
                  <c:v>46357</c:v>
                </c:pt>
                <c:pt idx="54">
                  <c:v>46388</c:v>
                </c:pt>
                <c:pt idx="55">
                  <c:v>46419</c:v>
                </c:pt>
                <c:pt idx="56">
                  <c:v>46447</c:v>
                </c:pt>
                <c:pt idx="57">
                  <c:v>46478</c:v>
                </c:pt>
              </c:numCache>
            </c:numRef>
          </c:cat>
          <c:val>
            <c:numRef>
              <c:f>Sheet1!$C$2:$C$59</c:f>
              <c:numCache>
                <c:formatCode>General</c:formatCode>
                <c:ptCount val="58"/>
                <c:pt idx="33" formatCode="0">
                  <c:v>451</c:v>
                </c:pt>
                <c:pt idx="34" formatCode="0">
                  <c:v>487.91147888212635</c:v>
                </c:pt>
                <c:pt idx="35" formatCode="0">
                  <c:v>512.24981663705512</c:v>
                </c:pt>
                <c:pt idx="36" formatCode="0">
                  <c:v>533.15400169950681</c:v>
                </c:pt>
                <c:pt idx="37" formatCode="0">
                  <c:v>517.96535657346772</c:v>
                </c:pt>
                <c:pt idx="38" formatCode="0">
                  <c:v>498.93111427847077</c:v>
                </c:pt>
                <c:pt idx="39" formatCode="0">
                  <c:v>505.94000552920471</c:v>
                </c:pt>
                <c:pt idx="40" formatCode="0">
                  <c:v>537.77733654736539</c:v>
                </c:pt>
                <c:pt idx="41" formatCode="0">
                  <c:v>596.00266400540795</c:v>
                </c:pt>
                <c:pt idx="42" formatCode="0">
                  <c:v>503.26250736427653</c:v>
                </c:pt>
                <c:pt idx="43" formatCode="0">
                  <c:v>496.55598695297834</c:v>
                </c:pt>
                <c:pt idx="44" formatCode="0">
                  <c:v>526.64549372450438</c:v>
                </c:pt>
                <c:pt idx="45" formatCode="0">
                  <c:v>542.59080230122322</c:v>
                </c:pt>
                <c:pt idx="46" formatCode="0">
                  <c:v>581.67647055175973</c:v>
                </c:pt>
                <c:pt idx="47" formatCode="0">
                  <c:v>606.01480830668845</c:v>
                </c:pt>
                <c:pt idx="48" formatCode="0">
                  <c:v>626.91899336914014</c:v>
                </c:pt>
                <c:pt idx="49" formatCode="0">
                  <c:v>611.73034824310105</c:v>
                </c:pt>
                <c:pt idx="50" formatCode="0">
                  <c:v>592.69610594810422</c:v>
                </c:pt>
                <c:pt idx="51" formatCode="0">
                  <c:v>599.70499719883799</c:v>
                </c:pt>
                <c:pt idx="52" formatCode="0">
                  <c:v>631.54232821699884</c:v>
                </c:pt>
                <c:pt idx="53" formatCode="0">
                  <c:v>689.76765567504128</c:v>
                </c:pt>
                <c:pt idx="54" formatCode="0">
                  <c:v>597.02749903390998</c:v>
                </c:pt>
                <c:pt idx="55" formatCode="0">
                  <c:v>590.32097862261162</c:v>
                </c:pt>
                <c:pt idx="56" formatCode="0">
                  <c:v>620.41048539413771</c:v>
                </c:pt>
                <c:pt idx="57" formatCode="0">
                  <c:v>636.35579397085655</c:v>
                </c:pt>
              </c:numCache>
            </c:numRef>
          </c:val>
          <c:smooth val="0"/>
          <c:extLst>
            <c:ext xmlns:c16="http://schemas.microsoft.com/office/drawing/2014/chart" uri="{C3380CC4-5D6E-409C-BE32-E72D297353CC}">
              <c16:uniqueId val="{00000001-2D34-47AA-B362-36AC4D5EF260}"/>
            </c:ext>
          </c:extLst>
        </c:ser>
        <c:dLbls>
          <c:dLblPos val="t"/>
          <c:showLegendKey val="0"/>
          <c:showVal val="1"/>
          <c:showCatName val="0"/>
          <c:showSerName val="0"/>
          <c:showPercent val="0"/>
          <c:showBubbleSize val="0"/>
        </c:dLbls>
        <c:smooth val="0"/>
        <c:axId val="637758944"/>
        <c:axId val="637759424"/>
      </c:lineChart>
      <c:catAx>
        <c:axId val="63775894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59424"/>
        <c:crosses val="autoZero"/>
        <c:auto val="1"/>
        <c:lblAlgn val="ctr"/>
        <c:lblOffset val="100"/>
        <c:noMultiLvlLbl val="0"/>
      </c:catAx>
      <c:valAx>
        <c:axId val="63775942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5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Lower</a:t>
            </a:r>
            <a:r>
              <a:rPr lang="en-US" baseline="0"/>
              <a:t> &amp; Upper Confidence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Sheet1!$B$1</c:f>
              <c:strCache>
                <c:ptCount val="1"/>
                <c:pt idx="0">
                  <c:v>Number</c:v>
                </c:pt>
              </c:strCache>
            </c:strRef>
          </c:tx>
          <c:spPr>
            <a:solidFill>
              <a:schemeClr val="accent1"/>
            </a:solidFill>
            <a:ln>
              <a:noFill/>
            </a:ln>
            <a:effectLst/>
          </c:spPr>
          <c:cat>
            <c:numRef>
              <c:f>Sheet1!$A$2:$A$59</c:f>
              <c:numCache>
                <c:formatCode>m/d/yyyy</c:formatCode>
                <c:ptCount val="58"/>
                <c:pt idx="0">
                  <c:v>44743</c:v>
                </c:pt>
                <c:pt idx="1">
                  <c:v>44774</c:v>
                </c:pt>
                <c:pt idx="2">
                  <c:v>44805</c:v>
                </c:pt>
                <c:pt idx="3">
                  <c:v>44835</c:v>
                </c:pt>
                <c:pt idx="4">
                  <c:v>44866</c:v>
                </c:pt>
                <c:pt idx="5">
                  <c:v>44896</c:v>
                </c:pt>
                <c:pt idx="6">
                  <c:v>44927</c:v>
                </c:pt>
                <c:pt idx="7">
                  <c:v>44958</c:v>
                </c:pt>
                <c:pt idx="8">
                  <c:v>44986</c:v>
                </c:pt>
                <c:pt idx="9">
                  <c:v>45017</c:v>
                </c:pt>
                <c:pt idx="10">
                  <c:v>45047</c:v>
                </c:pt>
                <c:pt idx="11">
                  <c:v>45078</c:v>
                </c:pt>
                <c:pt idx="12">
                  <c:v>45108</c:v>
                </c:pt>
                <c:pt idx="13">
                  <c:v>45139</c:v>
                </c:pt>
                <c:pt idx="14">
                  <c:v>45170</c:v>
                </c:pt>
                <c:pt idx="15">
                  <c:v>45200</c:v>
                </c:pt>
                <c:pt idx="16">
                  <c:v>45231</c:v>
                </c:pt>
                <c:pt idx="17">
                  <c:v>45261</c:v>
                </c:pt>
                <c:pt idx="18">
                  <c:v>45292</c:v>
                </c:pt>
                <c:pt idx="19">
                  <c:v>45323</c:v>
                </c:pt>
                <c:pt idx="20">
                  <c:v>45352</c:v>
                </c:pt>
                <c:pt idx="21">
                  <c:v>45383</c:v>
                </c:pt>
                <c:pt idx="22">
                  <c:v>45413</c:v>
                </c:pt>
                <c:pt idx="23">
                  <c:v>45444</c:v>
                </c:pt>
                <c:pt idx="24">
                  <c:v>45474</c:v>
                </c:pt>
                <c:pt idx="25">
                  <c:v>45505</c:v>
                </c:pt>
                <c:pt idx="26">
                  <c:v>45536</c:v>
                </c:pt>
                <c:pt idx="27">
                  <c:v>45566</c:v>
                </c:pt>
                <c:pt idx="28">
                  <c:v>45597</c:v>
                </c:pt>
                <c:pt idx="29">
                  <c:v>45627</c:v>
                </c:pt>
                <c:pt idx="30">
                  <c:v>45658</c:v>
                </c:pt>
                <c:pt idx="31">
                  <c:v>45689</c:v>
                </c:pt>
                <c:pt idx="32">
                  <c:v>45717</c:v>
                </c:pt>
                <c:pt idx="33">
                  <c:v>45748</c:v>
                </c:pt>
                <c:pt idx="34">
                  <c:v>45778</c:v>
                </c:pt>
                <c:pt idx="35">
                  <c:v>45809</c:v>
                </c:pt>
                <c:pt idx="36">
                  <c:v>45839</c:v>
                </c:pt>
                <c:pt idx="37">
                  <c:v>45870</c:v>
                </c:pt>
                <c:pt idx="38">
                  <c:v>45901</c:v>
                </c:pt>
                <c:pt idx="39">
                  <c:v>45931</c:v>
                </c:pt>
                <c:pt idx="40">
                  <c:v>45962</c:v>
                </c:pt>
                <c:pt idx="41">
                  <c:v>45992</c:v>
                </c:pt>
                <c:pt idx="42">
                  <c:v>46023</c:v>
                </c:pt>
                <c:pt idx="43">
                  <c:v>46054</c:v>
                </c:pt>
                <c:pt idx="44">
                  <c:v>46082</c:v>
                </c:pt>
                <c:pt idx="45">
                  <c:v>46113</c:v>
                </c:pt>
                <c:pt idx="46">
                  <c:v>46143</c:v>
                </c:pt>
                <c:pt idx="47">
                  <c:v>46174</c:v>
                </c:pt>
                <c:pt idx="48">
                  <c:v>46204</c:v>
                </c:pt>
                <c:pt idx="49">
                  <c:v>46235</c:v>
                </c:pt>
                <c:pt idx="50">
                  <c:v>46266</c:v>
                </c:pt>
                <c:pt idx="51">
                  <c:v>46296</c:v>
                </c:pt>
                <c:pt idx="52">
                  <c:v>46327</c:v>
                </c:pt>
                <c:pt idx="53">
                  <c:v>46357</c:v>
                </c:pt>
                <c:pt idx="54">
                  <c:v>46388</c:v>
                </c:pt>
                <c:pt idx="55">
                  <c:v>46419</c:v>
                </c:pt>
                <c:pt idx="56">
                  <c:v>46447</c:v>
                </c:pt>
                <c:pt idx="57">
                  <c:v>46478</c:v>
                </c:pt>
              </c:numCache>
            </c:numRef>
          </c:cat>
          <c:val>
            <c:numRef>
              <c:f>Sheet1!$B$2:$B$59</c:f>
              <c:numCache>
                <c:formatCode>0</c:formatCode>
                <c:ptCount val="58"/>
                <c:pt idx="0">
                  <c:v>250</c:v>
                </c:pt>
                <c:pt idx="1">
                  <c:v>239</c:v>
                </c:pt>
                <c:pt idx="2">
                  <c:v>207</c:v>
                </c:pt>
                <c:pt idx="3">
                  <c:v>212</c:v>
                </c:pt>
                <c:pt idx="4">
                  <c:v>262</c:v>
                </c:pt>
                <c:pt idx="5">
                  <c:v>367</c:v>
                </c:pt>
                <c:pt idx="6">
                  <c:v>213</c:v>
                </c:pt>
                <c:pt idx="7">
                  <c:v>209</c:v>
                </c:pt>
                <c:pt idx="8">
                  <c:v>239</c:v>
                </c:pt>
                <c:pt idx="9">
                  <c:v>262</c:v>
                </c:pt>
                <c:pt idx="10">
                  <c:v>293</c:v>
                </c:pt>
                <c:pt idx="11">
                  <c:v>323</c:v>
                </c:pt>
                <c:pt idx="12">
                  <c:v>343</c:v>
                </c:pt>
                <c:pt idx="13">
                  <c:v>327</c:v>
                </c:pt>
                <c:pt idx="14">
                  <c:v>313</c:v>
                </c:pt>
                <c:pt idx="15">
                  <c:v>320</c:v>
                </c:pt>
                <c:pt idx="16">
                  <c:v>347</c:v>
                </c:pt>
                <c:pt idx="17">
                  <c:v>376</c:v>
                </c:pt>
                <c:pt idx="18">
                  <c:v>322</c:v>
                </c:pt>
                <c:pt idx="19">
                  <c:v>316</c:v>
                </c:pt>
                <c:pt idx="20">
                  <c:v>342</c:v>
                </c:pt>
                <c:pt idx="21">
                  <c:v>354</c:v>
                </c:pt>
                <c:pt idx="22">
                  <c:v>402</c:v>
                </c:pt>
                <c:pt idx="23">
                  <c:v>415</c:v>
                </c:pt>
                <c:pt idx="24">
                  <c:v>447</c:v>
                </c:pt>
                <c:pt idx="25">
                  <c:v>435</c:v>
                </c:pt>
                <c:pt idx="26">
                  <c:v>399</c:v>
                </c:pt>
                <c:pt idx="27">
                  <c:v>408</c:v>
                </c:pt>
                <c:pt idx="28">
                  <c:v>456</c:v>
                </c:pt>
                <c:pt idx="29">
                  <c:v>437.5</c:v>
                </c:pt>
                <c:pt idx="30">
                  <c:v>419</c:v>
                </c:pt>
                <c:pt idx="31">
                  <c:v>402</c:v>
                </c:pt>
                <c:pt idx="32">
                  <c:v>446</c:v>
                </c:pt>
                <c:pt idx="33">
                  <c:v>451</c:v>
                </c:pt>
              </c:numCache>
            </c:numRef>
          </c:val>
          <c:extLst>
            <c:ext xmlns:c16="http://schemas.microsoft.com/office/drawing/2014/chart" uri="{C3380CC4-5D6E-409C-BE32-E72D297353CC}">
              <c16:uniqueId val="{00000000-D390-4B75-8AE2-71946A30CC46}"/>
            </c:ext>
          </c:extLst>
        </c:ser>
        <c:ser>
          <c:idx val="1"/>
          <c:order val="1"/>
          <c:tx>
            <c:strRef>
              <c:f>Sheet1!$C$1</c:f>
              <c:strCache>
                <c:ptCount val="1"/>
                <c:pt idx="0">
                  <c:v>Forecast(Number)</c:v>
                </c:pt>
              </c:strCache>
            </c:strRef>
          </c:tx>
          <c:spPr>
            <a:solidFill>
              <a:schemeClr val="accent2"/>
            </a:solidFill>
            <a:ln>
              <a:noFill/>
            </a:ln>
            <a:effectLst/>
          </c:spPr>
          <c:cat>
            <c:numRef>
              <c:f>Sheet1!$A$2:$A$59</c:f>
              <c:numCache>
                <c:formatCode>m/d/yyyy</c:formatCode>
                <c:ptCount val="58"/>
                <c:pt idx="0">
                  <c:v>44743</c:v>
                </c:pt>
                <c:pt idx="1">
                  <c:v>44774</c:v>
                </c:pt>
                <c:pt idx="2">
                  <c:v>44805</c:v>
                </c:pt>
                <c:pt idx="3">
                  <c:v>44835</c:v>
                </c:pt>
                <c:pt idx="4">
                  <c:v>44866</c:v>
                </c:pt>
                <c:pt idx="5">
                  <c:v>44896</c:v>
                </c:pt>
                <c:pt idx="6">
                  <c:v>44927</c:v>
                </c:pt>
                <c:pt idx="7">
                  <c:v>44958</c:v>
                </c:pt>
                <c:pt idx="8">
                  <c:v>44986</c:v>
                </c:pt>
                <c:pt idx="9">
                  <c:v>45017</c:v>
                </c:pt>
                <c:pt idx="10">
                  <c:v>45047</c:v>
                </c:pt>
                <c:pt idx="11">
                  <c:v>45078</c:v>
                </c:pt>
                <c:pt idx="12">
                  <c:v>45108</c:v>
                </c:pt>
                <c:pt idx="13">
                  <c:v>45139</c:v>
                </c:pt>
                <c:pt idx="14">
                  <c:v>45170</c:v>
                </c:pt>
                <c:pt idx="15">
                  <c:v>45200</c:v>
                </c:pt>
                <c:pt idx="16">
                  <c:v>45231</c:v>
                </c:pt>
                <c:pt idx="17">
                  <c:v>45261</c:v>
                </c:pt>
                <c:pt idx="18">
                  <c:v>45292</c:v>
                </c:pt>
                <c:pt idx="19">
                  <c:v>45323</c:v>
                </c:pt>
                <c:pt idx="20">
                  <c:v>45352</c:v>
                </c:pt>
                <c:pt idx="21">
                  <c:v>45383</c:v>
                </c:pt>
                <c:pt idx="22">
                  <c:v>45413</c:v>
                </c:pt>
                <c:pt idx="23">
                  <c:v>45444</c:v>
                </c:pt>
                <c:pt idx="24">
                  <c:v>45474</c:v>
                </c:pt>
                <c:pt idx="25">
                  <c:v>45505</c:v>
                </c:pt>
                <c:pt idx="26">
                  <c:v>45536</c:v>
                </c:pt>
                <c:pt idx="27">
                  <c:v>45566</c:v>
                </c:pt>
                <c:pt idx="28">
                  <c:v>45597</c:v>
                </c:pt>
                <c:pt idx="29">
                  <c:v>45627</c:v>
                </c:pt>
                <c:pt idx="30">
                  <c:v>45658</c:v>
                </c:pt>
                <c:pt idx="31">
                  <c:v>45689</c:v>
                </c:pt>
                <c:pt idx="32">
                  <c:v>45717</c:v>
                </c:pt>
                <c:pt idx="33">
                  <c:v>45748</c:v>
                </c:pt>
                <c:pt idx="34">
                  <c:v>45778</c:v>
                </c:pt>
                <c:pt idx="35">
                  <c:v>45809</c:v>
                </c:pt>
                <c:pt idx="36">
                  <c:v>45839</c:v>
                </c:pt>
                <c:pt idx="37">
                  <c:v>45870</c:v>
                </c:pt>
                <c:pt idx="38">
                  <c:v>45901</c:v>
                </c:pt>
                <c:pt idx="39">
                  <c:v>45931</c:v>
                </c:pt>
                <c:pt idx="40">
                  <c:v>45962</c:v>
                </c:pt>
                <c:pt idx="41">
                  <c:v>45992</c:v>
                </c:pt>
                <c:pt idx="42">
                  <c:v>46023</c:v>
                </c:pt>
                <c:pt idx="43">
                  <c:v>46054</c:v>
                </c:pt>
                <c:pt idx="44">
                  <c:v>46082</c:v>
                </c:pt>
                <c:pt idx="45">
                  <c:v>46113</c:v>
                </c:pt>
                <c:pt idx="46">
                  <c:v>46143</c:v>
                </c:pt>
                <c:pt idx="47">
                  <c:v>46174</c:v>
                </c:pt>
                <c:pt idx="48">
                  <c:v>46204</c:v>
                </c:pt>
                <c:pt idx="49">
                  <c:v>46235</c:v>
                </c:pt>
                <c:pt idx="50">
                  <c:v>46266</c:v>
                </c:pt>
                <c:pt idx="51">
                  <c:v>46296</c:v>
                </c:pt>
                <c:pt idx="52">
                  <c:v>46327</c:v>
                </c:pt>
                <c:pt idx="53">
                  <c:v>46357</c:v>
                </c:pt>
                <c:pt idx="54">
                  <c:v>46388</c:v>
                </c:pt>
                <c:pt idx="55">
                  <c:v>46419</c:v>
                </c:pt>
                <c:pt idx="56">
                  <c:v>46447</c:v>
                </c:pt>
                <c:pt idx="57">
                  <c:v>46478</c:v>
                </c:pt>
              </c:numCache>
            </c:numRef>
          </c:cat>
          <c:val>
            <c:numRef>
              <c:f>Sheet1!$C$2:$C$59</c:f>
              <c:numCache>
                <c:formatCode>General</c:formatCode>
                <c:ptCount val="58"/>
                <c:pt idx="33" formatCode="0">
                  <c:v>451</c:v>
                </c:pt>
                <c:pt idx="34" formatCode="0">
                  <c:v>487.91147888212635</c:v>
                </c:pt>
                <c:pt idx="35" formatCode="0">
                  <c:v>512.24981663705512</c:v>
                </c:pt>
                <c:pt idx="36" formatCode="0">
                  <c:v>533.15400169950681</c:v>
                </c:pt>
                <c:pt idx="37" formatCode="0">
                  <c:v>517.96535657346772</c:v>
                </c:pt>
                <c:pt idx="38" formatCode="0">
                  <c:v>498.93111427847077</c:v>
                </c:pt>
                <c:pt idx="39" formatCode="0">
                  <c:v>505.94000552920471</c:v>
                </c:pt>
                <c:pt idx="40" formatCode="0">
                  <c:v>537.77733654736539</c:v>
                </c:pt>
                <c:pt idx="41" formatCode="0">
                  <c:v>596.00266400540795</c:v>
                </c:pt>
                <c:pt idx="42" formatCode="0">
                  <c:v>503.26250736427653</c:v>
                </c:pt>
                <c:pt idx="43" formatCode="0">
                  <c:v>496.55598695297834</c:v>
                </c:pt>
                <c:pt idx="44" formatCode="0">
                  <c:v>526.64549372450438</c:v>
                </c:pt>
                <c:pt idx="45" formatCode="0">
                  <c:v>542.59080230122322</c:v>
                </c:pt>
                <c:pt idx="46" formatCode="0">
                  <c:v>581.67647055175973</c:v>
                </c:pt>
                <c:pt idx="47" formatCode="0">
                  <c:v>606.01480830668845</c:v>
                </c:pt>
                <c:pt idx="48" formatCode="0">
                  <c:v>626.91899336914014</c:v>
                </c:pt>
                <c:pt idx="49" formatCode="0">
                  <c:v>611.73034824310105</c:v>
                </c:pt>
                <c:pt idx="50" formatCode="0">
                  <c:v>592.69610594810422</c:v>
                </c:pt>
                <c:pt idx="51" formatCode="0">
                  <c:v>599.70499719883799</c:v>
                </c:pt>
                <c:pt idx="52" formatCode="0">
                  <c:v>631.54232821699884</c:v>
                </c:pt>
                <c:pt idx="53" formatCode="0">
                  <c:v>689.76765567504128</c:v>
                </c:pt>
                <c:pt idx="54" formatCode="0">
                  <c:v>597.02749903390998</c:v>
                </c:pt>
                <c:pt idx="55" formatCode="0">
                  <c:v>590.32097862261162</c:v>
                </c:pt>
                <c:pt idx="56" formatCode="0">
                  <c:v>620.41048539413771</c:v>
                </c:pt>
                <c:pt idx="57" formatCode="0">
                  <c:v>636.35579397085655</c:v>
                </c:pt>
              </c:numCache>
            </c:numRef>
          </c:val>
          <c:extLst>
            <c:ext xmlns:c16="http://schemas.microsoft.com/office/drawing/2014/chart" uri="{C3380CC4-5D6E-409C-BE32-E72D297353CC}">
              <c16:uniqueId val="{00000001-D390-4B75-8AE2-71946A30CC46}"/>
            </c:ext>
          </c:extLst>
        </c:ser>
        <c:ser>
          <c:idx val="2"/>
          <c:order val="2"/>
          <c:tx>
            <c:strRef>
              <c:f>Sheet1!$D$1</c:f>
              <c:strCache>
                <c:ptCount val="1"/>
                <c:pt idx="0">
                  <c:v>Lower Confidence Bound(Number)</c:v>
                </c:pt>
              </c:strCache>
            </c:strRef>
          </c:tx>
          <c:spPr>
            <a:solidFill>
              <a:schemeClr val="accent3"/>
            </a:solidFill>
            <a:ln>
              <a:noFill/>
            </a:ln>
            <a:effectLst/>
          </c:spPr>
          <c:cat>
            <c:numRef>
              <c:f>Sheet1!$A$2:$A$59</c:f>
              <c:numCache>
                <c:formatCode>m/d/yyyy</c:formatCode>
                <c:ptCount val="58"/>
                <c:pt idx="0">
                  <c:v>44743</c:v>
                </c:pt>
                <c:pt idx="1">
                  <c:v>44774</c:v>
                </c:pt>
                <c:pt idx="2">
                  <c:v>44805</c:v>
                </c:pt>
                <c:pt idx="3">
                  <c:v>44835</c:v>
                </c:pt>
                <c:pt idx="4">
                  <c:v>44866</c:v>
                </c:pt>
                <c:pt idx="5">
                  <c:v>44896</c:v>
                </c:pt>
                <c:pt idx="6">
                  <c:v>44927</c:v>
                </c:pt>
                <c:pt idx="7">
                  <c:v>44958</c:v>
                </c:pt>
                <c:pt idx="8">
                  <c:v>44986</c:v>
                </c:pt>
                <c:pt idx="9">
                  <c:v>45017</c:v>
                </c:pt>
                <c:pt idx="10">
                  <c:v>45047</c:v>
                </c:pt>
                <c:pt idx="11">
                  <c:v>45078</c:v>
                </c:pt>
                <c:pt idx="12">
                  <c:v>45108</c:v>
                </c:pt>
                <c:pt idx="13">
                  <c:v>45139</c:v>
                </c:pt>
                <c:pt idx="14">
                  <c:v>45170</c:v>
                </c:pt>
                <c:pt idx="15">
                  <c:v>45200</c:v>
                </c:pt>
                <c:pt idx="16">
                  <c:v>45231</c:v>
                </c:pt>
                <c:pt idx="17">
                  <c:v>45261</c:v>
                </c:pt>
                <c:pt idx="18">
                  <c:v>45292</c:v>
                </c:pt>
                <c:pt idx="19">
                  <c:v>45323</c:v>
                </c:pt>
                <c:pt idx="20">
                  <c:v>45352</c:v>
                </c:pt>
                <c:pt idx="21">
                  <c:v>45383</c:v>
                </c:pt>
                <c:pt idx="22">
                  <c:v>45413</c:v>
                </c:pt>
                <c:pt idx="23">
                  <c:v>45444</c:v>
                </c:pt>
                <c:pt idx="24">
                  <c:v>45474</c:v>
                </c:pt>
                <c:pt idx="25">
                  <c:v>45505</c:v>
                </c:pt>
                <c:pt idx="26">
                  <c:v>45536</c:v>
                </c:pt>
                <c:pt idx="27">
                  <c:v>45566</c:v>
                </c:pt>
                <c:pt idx="28">
                  <c:v>45597</c:v>
                </c:pt>
                <c:pt idx="29">
                  <c:v>45627</c:v>
                </c:pt>
                <c:pt idx="30">
                  <c:v>45658</c:v>
                </c:pt>
                <c:pt idx="31">
                  <c:v>45689</c:v>
                </c:pt>
                <c:pt idx="32">
                  <c:v>45717</c:v>
                </c:pt>
                <c:pt idx="33">
                  <c:v>45748</c:v>
                </c:pt>
                <c:pt idx="34">
                  <c:v>45778</c:v>
                </c:pt>
                <c:pt idx="35">
                  <c:v>45809</c:v>
                </c:pt>
                <c:pt idx="36">
                  <c:v>45839</c:v>
                </c:pt>
                <c:pt idx="37">
                  <c:v>45870</c:v>
                </c:pt>
                <c:pt idx="38">
                  <c:v>45901</c:v>
                </c:pt>
                <c:pt idx="39">
                  <c:v>45931</c:v>
                </c:pt>
                <c:pt idx="40">
                  <c:v>45962</c:v>
                </c:pt>
                <c:pt idx="41">
                  <c:v>45992</c:v>
                </c:pt>
                <c:pt idx="42">
                  <c:v>46023</c:v>
                </c:pt>
                <c:pt idx="43">
                  <c:v>46054</c:v>
                </c:pt>
                <c:pt idx="44">
                  <c:v>46082</c:v>
                </c:pt>
                <c:pt idx="45">
                  <c:v>46113</c:v>
                </c:pt>
                <c:pt idx="46">
                  <c:v>46143</c:v>
                </c:pt>
                <c:pt idx="47">
                  <c:v>46174</c:v>
                </c:pt>
                <c:pt idx="48">
                  <c:v>46204</c:v>
                </c:pt>
                <c:pt idx="49">
                  <c:v>46235</c:v>
                </c:pt>
                <c:pt idx="50">
                  <c:v>46266</c:v>
                </c:pt>
                <c:pt idx="51">
                  <c:v>46296</c:v>
                </c:pt>
                <c:pt idx="52">
                  <c:v>46327</c:v>
                </c:pt>
                <c:pt idx="53">
                  <c:v>46357</c:v>
                </c:pt>
                <c:pt idx="54">
                  <c:v>46388</c:v>
                </c:pt>
                <c:pt idx="55">
                  <c:v>46419</c:v>
                </c:pt>
                <c:pt idx="56">
                  <c:v>46447</c:v>
                </c:pt>
                <c:pt idx="57">
                  <c:v>46478</c:v>
                </c:pt>
              </c:numCache>
            </c:numRef>
          </c:cat>
          <c:val>
            <c:numRef>
              <c:f>Sheet1!$D$2:$D$59</c:f>
              <c:numCache>
                <c:formatCode>General</c:formatCode>
                <c:ptCount val="58"/>
                <c:pt idx="33" formatCode="0">
                  <c:v>451</c:v>
                </c:pt>
                <c:pt idx="34" formatCode="0">
                  <c:v>452.10051723190452</c:v>
                </c:pt>
                <c:pt idx="35" formatCode="0">
                  <c:v>476.43869383786841</c:v>
                </c:pt>
                <c:pt idx="36" formatCode="0">
                  <c:v>497.34259241506203</c:v>
                </c:pt>
                <c:pt idx="37" formatCode="0">
                  <c:v>482.15349966039525</c:v>
                </c:pt>
                <c:pt idx="38" formatCode="0">
                  <c:v>463.11861279000379</c:v>
                </c:pt>
                <c:pt idx="39" formatCode="0">
                  <c:v>470.12662672064778</c:v>
                </c:pt>
                <c:pt idx="40" formatCode="0">
                  <c:v>501.96281188371046</c:v>
                </c:pt>
                <c:pt idx="41" formatCode="0">
                  <c:v>560.18668917145339</c:v>
                </c:pt>
                <c:pt idx="42" formatCode="0">
                  <c:v>467.44474227760622</c:v>
                </c:pt>
                <c:pt idx="43" formatCode="0">
                  <c:v>460.73605578015514</c:v>
                </c:pt>
                <c:pt idx="44" formatCode="0">
                  <c:v>490.8229849008319</c:v>
                </c:pt>
                <c:pt idx="45" formatCode="0">
                  <c:v>506.76526855442813</c:v>
                </c:pt>
                <c:pt idx="46" formatCode="0">
                  <c:v>545.50677880339856</c:v>
                </c:pt>
                <c:pt idx="47" formatCode="0">
                  <c:v>569.84112800193247</c:v>
                </c:pt>
                <c:pt idx="48" formatCode="0">
                  <c:v>590.74077550833181</c:v>
                </c:pt>
                <c:pt idx="49" formatCode="0">
                  <c:v>575.54700859069078</c:v>
                </c:pt>
                <c:pt idx="50" formatCode="0">
                  <c:v>556.50702507979031</c:v>
                </c:pt>
                <c:pt idx="51" formatCode="0">
                  <c:v>563.50952055452376</c:v>
                </c:pt>
                <c:pt idx="52" formatCode="0">
                  <c:v>595.33976615989002</c:v>
                </c:pt>
                <c:pt idx="53" formatCode="0">
                  <c:v>653.55728355720066</c:v>
                </c:pt>
                <c:pt idx="54" formatCode="0">
                  <c:v>560.8085572685842</c:v>
                </c:pt>
                <c:pt idx="55" formatCode="0">
                  <c:v>554.09267276363619</c:v>
                </c:pt>
                <c:pt idx="56" formatCode="0">
                  <c:v>584.17198622272235</c:v>
                </c:pt>
                <c:pt idx="57" formatCode="0">
                  <c:v>600.10623759004523</c:v>
                </c:pt>
              </c:numCache>
            </c:numRef>
          </c:val>
          <c:extLst>
            <c:ext xmlns:c16="http://schemas.microsoft.com/office/drawing/2014/chart" uri="{C3380CC4-5D6E-409C-BE32-E72D297353CC}">
              <c16:uniqueId val="{00000002-D390-4B75-8AE2-71946A30CC46}"/>
            </c:ext>
          </c:extLst>
        </c:ser>
        <c:ser>
          <c:idx val="3"/>
          <c:order val="3"/>
          <c:tx>
            <c:strRef>
              <c:f>Sheet1!$E$1</c:f>
              <c:strCache>
                <c:ptCount val="1"/>
                <c:pt idx="0">
                  <c:v>Upper Confidence Bound(Number)</c:v>
                </c:pt>
              </c:strCache>
            </c:strRef>
          </c:tx>
          <c:spPr>
            <a:solidFill>
              <a:schemeClr val="accent4"/>
            </a:solidFill>
            <a:ln>
              <a:noFill/>
            </a:ln>
            <a:effectLst/>
          </c:spPr>
          <c:cat>
            <c:numRef>
              <c:f>Sheet1!$A$2:$A$59</c:f>
              <c:numCache>
                <c:formatCode>m/d/yyyy</c:formatCode>
                <c:ptCount val="58"/>
                <c:pt idx="0">
                  <c:v>44743</c:v>
                </c:pt>
                <c:pt idx="1">
                  <c:v>44774</c:v>
                </c:pt>
                <c:pt idx="2">
                  <c:v>44805</c:v>
                </c:pt>
                <c:pt idx="3">
                  <c:v>44835</c:v>
                </c:pt>
                <c:pt idx="4">
                  <c:v>44866</c:v>
                </c:pt>
                <c:pt idx="5">
                  <c:v>44896</c:v>
                </c:pt>
                <c:pt idx="6">
                  <c:v>44927</c:v>
                </c:pt>
                <c:pt idx="7">
                  <c:v>44958</c:v>
                </c:pt>
                <c:pt idx="8">
                  <c:v>44986</c:v>
                </c:pt>
                <c:pt idx="9">
                  <c:v>45017</c:v>
                </c:pt>
                <c:pt idx="10">
                  <c:v>45047</c:v>
                </c:pt>
                <c:pt idx="11">
                  <c:v>45078</c:v>
                </c:pt>
                <c:pt idx="12">
                  <c:v>45108</c:v>
                </c:pt>
                <c:pt idx="13">
                  <c:v>45139</c:v>
                </c:pt>
                <c:pt idx="14">
                  <c:v>45170</c:v>
                </c:pt>
                <c:pt idx="15">
                  <c:v>45200</c:v>
                </c:pt>
                <c:pt idx="16">
                  <c:v>45231</c:v>
                </c:pt>
                <c:pt idx="17">
                  <c:v>45261</c:v>
                </c:pt>
                <c:pt idx="18">
                  <c:v>45292</c:v>
                </c:pt>
                <c:pt idx="19">
                  <c:v>45323</c:v>
                </c:pt>
                <c:pt idx="20">
                  <c:v>45352</c:v>
                </c:pt>
                <c:pt idx="21">
                  <c:v>45383</c:v>
                </c:pt>
                <c:pt idx="22">
                  <c:v>45413</c:v>
                </c:pt>
                <c:pt idx="23">
                  <c:v>45444</c:v>
                </c:pt>
                <c:pt idx="24">
                  <c:v>45474</c:v>
                </c:pt>
                <c:pt idx="25">
                  <c:v>45505</c:v>
                </c:pt>
                <c:pt idx="26">
                  <c:v>45536</c:v>
                </c:pt>
                <c:pt idx="27">
                  <c:v>45566</c:v>
                </c:pt>
                <c:pt idx="28">
                  <c:v>45597</c:v>
                </c:pt>
                <c:pt idx="29">
                  <c:v>45627</c:v>
                </c:pt>
                <c:pt idx="30">
                  <c:v>45658</c:v>
                </c:pt>
                <c:pt idx="31">
                  <c:v>45689</c:v>
                </c:pt>
                <c:pt idx="32">
                  <c:v>45717</c:v>
                </c:pt>
                <c:pt idx="33">
                  <c:v>45748</c:v>
                </c:pt>
                <c:pt idx="34">
                  <c:v>45778</c:v>
                </c:pt>
                <c:pt idx="35">
                  <c:v>45809</c:v>
                </c:pt>
                <c:pt idx="36">
                  <c:v>45839</c:v>
                </c:pt>
                <c:pt idx="37">
                  <c:v>45870</c:v>
                </c:pt>
                <c:pt idx="38">
                  <c:v>45901</c:v>
                </c:pt>
                <c:pt idx="39">
                  <c:v>45931</c:v>
                </c:pt>
                <c:pt idx="40">
                  <c:v>45962</c:v>
                </c:pt>
                <c:pt idx="41">
                  <c:v>45992</c:v>
                </c:pt>
                <c:pt idx="42">
                  <c:v>46023</c:v>
                </c:pt>
                <c:pt idx="43">
                  <c:v>46054</c:v>
                </c:pt>
                <c:pt idx="44">
                  <c:v>46082</c:v>
                </c:pt>
                <c:pt idx="45">
                  <c:v>46113</c:v>
                </c:pt>
                <c:pt idx="46">
                  <c:v>46143</c:v>
                </c:pt>
                <c:pt idx="47">
                  <c:v>46174</c:v>
                </c:pt>
                <c:pt idx="48">
                  <c:v>46204</c:v>
                </c:pt>
                <c:pt idx="49">
                  <c:v>46235</c:v>
                </c:pt>
                <c:pt idx="50">
                  <c:v>46266</c:v>
                </c:pt>
                <c:pt idx="51">
                  <c:v>46296</c:v>
                </c:pt>
                <c:pt idx="52">
                  <c:v>46327</c:v>
                </c:pt>
                <c:pt idx="53">
                  <c:v>46357</c:v>
                </c:pt>
                <c:pt idx="54">
                  <c:v>46388</c:v>
                </c:pt>
                <c:pt idx="55">
                  <c:v>46419</c:v>
                </c:pt>
                <c:pt idx="56">
                  <c:v>46447</c:v>
                </c:pt>
                <c:pt idx="57">
                  <c:v>46478</c:v>
                </c:pt>
              </c:numCache>
            </c:numRef>
          </c:cat>
          <c:val>
            <c:numRef>
              <c:f>Sheet1!$E$2:$E$59</c:f>
              <c:numCache>
                <c:formatCode>General</c:formatCode>
                <c:ptCount val="58"/>
                <c:pt idx="33" formatCode="0">
                  <c:v>451</c:v>
                </c:pt>
                <c:pt idx="34" formatCode="0">
                  <c:v>523.72244053234817</c:v>
                </c:pt>
                <c:pt idx="35" formatCode="0">
                  <c:v>548.06093943624182</c:v>
                </c:pt>
                <c:pt idx="36" formatCode="0">
                  <c:v>568.96541098395164</c:v>
                </c:pt>
                <c:pt idx="37" formatCode="0">
                  <c:v>553.77721348654018</c:v>
                </c:pt>
                <c:pt idx="38" formatCode="0">
                  <c:v>534.74361576693775</c:v>
                </c:pt>
                <c:pt idx="39" formatCode="0">
                  <c:v>541.75338433776164</c:v>
                </c:pt>
                <c:pt idx="40" formatCode="0">
                  <c:v>573.59186121102039</c:v>
                </c:pt>
                <c:pt idx="41" formatCode="0">
                  <c:v>631.81863883936251</c:v>
                </c:pt>
                <c:pt idx="42" formatCode="0">
                  <c:v>539.08027245094684</c:v>
                </c:pt>
                <c:pt idx="43" formatCode="0">
                  <c:v>532.3759181258016</c:v>
                </c:pt>
                <c:pt idx="44" formatCode="0">
                  <c:v>562.46800254817686</c:v>
                </c:pt>
                <c:pt idx="45" formatCode="0">
                  <c:v>578.41633604801825</c:v>
                </c:pt>
                <c:pt idx="46" formatCode="0">
                  <c:v>617.84616230012091</c:v>
                </c:pt>
                <c:pt idx="47" formatCode="0">
                  <c:v>642.18848861144443</c:v>
                </c:pt>
                <c:pt idx="48" formatCode="0">
                  <c:v>663.09721122994847</c:v>
                </c:pt>
                <c:pt idx="49" formatCode="0">
                  <c:v>647.91368789551132</c:v>
                </c:pt>
                <c:pt idx="50" formatCode="0">
                  <c:v>628.88518681641813</c:v>
                </c:pt>
                <c:pt idx="51" formatCode="0">
                  <c:v>635.90047384315221</c:v>
                </c:pt>
                <c:pt idx="52" formatCode="0">
                  <c:v>667.74489027410766</c:v>
                </c:pt>
                <c:pt idx="53" formatCode="0">
                  <c:v>725.9780277928819</c:v>
                </c:pt>
                <c:pt idx="54" formatCode="0">
                  <c:v>633.24644079923576</c:v>
                </c:pt>
                <c:pt idx="55" formatCode="0">
                  <c:v>626.54928448158705</c:v>
                </c:pt>
                <c:pt idx="56" formatCode="0">
                  <c:v>656.64898456555306</c:v>
                </c:pt>
                <c:pt idx="57" formatCode="0">
                  <c:v>672.60535035166788</c:v>
                </c:pt>
              </c:numCache>
            </c:numRef>
          </c:val>
          <c:extLst>
            <c:ext xmlns:c16="http://schemas.microsoft.com/office/drawing/2014/chart" uri="{C3380CC4-5D6E-409C-BE32-E72D297353CC}">
              <c16:uniqueId val="{00000003-D390-4B75-8AE2-71946A30CC46}"/>
            </c:ext>
          </c:extLst>
        </c:ser>
        <c:ser>
          <c:idx val="4"/>
          <c:order val="4"/>
          <c:tx>
            <c:strRef>
              <c:f>Sheet1!$F$1</c:f>
              <c:strCache>
                <c:ptCount val="1"/>
                <c:pt idx="0">
                  <c:v>MAE</c:v>
                </c:pt>
              </c:strCache>
            </c:strRef>
          </c:tx>
          <c:spPr>
            <a:solidFill>
              <a:schemeClr val="accent5"/>
            </a:solidFill>
            <a:ln>
              <a:noFill/>
            </a:ln>
            <a:effectLst/>
          </c:spPr>
          <c:cat>
            <c:numRef>
              <c:f>Sheet1!$A$2:$A$59</c:f>
              <c:numCache>
                <c:formatCode>m/d/yyyy</c:formatCode>
                <c:ptCount val="58"/>
                <c:pt idx="0">
                  <c:v>44743</c:v>
                </c:pt>
                <c:pt idx="1">
                  <c:v>44774</c:v>
                </c:pt>
                <c:pt idx="2">
                  <c:v>44805</c:v>
                </c:pt>
                <c:pt idx="3">
                  <c:v>44835</c:v>
                </c:pt>
                <c:pt idx="4">
                  <c:v>44866</c:v>
                </c:pt>
                <c:pt idx="5">
                  <c:v>44896</c:v>
                </c:pt>
                <c:pt idx="6">
                  <c:v>44927</c:v>
                </c:pt>
                <c:pt idx="7">
                  <c:v>44958</c:v>
                </c:pt>
                <c:pt idx="8">
                  <c:v>44986</c:v>
                </c:pt>
                <c:pt idx="9">
                  <c:v>45017</c:v>
                </c:pt>
                <c:pt idx="10">
                  <c:v>45047</c:v>
                </c:pt>
                <c:pt idx="11">
                  <c:v>45078</c:v>
                </c:pt>
                <c:pt idx="12">
                  <c:v>45108</c:v>
                </c:pt>
                <c:pt idx="13">
                  <c:v>45139</c:v>
                </c:pt>
                <c:pt idx="14">
                  <c:v>45170</c:v>
                </c:pt>
                <c:pt idx="15">
                  <c:v>45200</c:v>
                </c:pt>
                <c:pt idx="16">
                  <c:v>45231</c:v>
                </c:pt>
                <c:pt idx="17">
                  <c:v>45261</c:v>
                </c:pt>
                <c:pt idx="18">
                  <c:v>45292</c:v>
                </c:pt>
                <c:pt idx="19">
                  <c:v>45323</c:v>
                </c:pt>
                <c:pt idx="20">
                  <c:v>45352</c:v>
                </c:pt>
                <c:pt idx="21">
                  <c:v>45383</c:v>
                </c:pt>
                <c:pt idx="22">
                  <c:v>45413</c:v>
                </c:pt>
                <c:pt idx="23">
                  <c:v>45444</c:v>
                </c:pt>
                <c:pt idx="24">
                  <c:v>45474</c:v>
                </c:pt>
                <c:pt idx="25">
                  <c:v>45505</c:v>
                </c:pt>
                <c:pt idx="26">
                  <c:v>45536</c:v>
                </c:pt>
                <c:pt idx="27">
                  <c:v>45566</c:v>
                </c:pt>
                <c:pt idx="28">
                  <c:v>45597</c:v>
                </c:pt>
                <c:pt idx="29">
                  <c:v>45627</c:v>
                </c:pt>
                <c:pt idx="30">
                  <c:v>45658</c:v>
                </c:pt>
                <c:pt idx="31">
                  <c:v>45689</c:v>
                </c:pt>
                <c:pt idx="32">
                  <c:v>45717</c:v>
                </c:pt>
                <c:pt idx="33">
                  <c:v>45748</c:v>
                </c:pt>
                <c:pt idx="34">
                  <c:v>45778</c:v>
                </c:pt>
                <c:pt idx="35">
                  <c:v>45809</c:v>
                </c:pt>
                <c:pt idx="36">
                  <c:v>45839</c:v>
                </c:pt>
                <c:pt idx="37">
                  <c:v>45870</c:v>
                </c:pt>
                <c:pt idx="38">
                  <c:v>45901</c:v>
                </c:pt>
                <c:pt idx="39">
                  <c:v>45931</c:v>
                </c:pt>
                <c:pt idx="40">
                  <c:v>45962</c:v>
                </c:pt>
                <c:pt idx="41">
                  <c:v>45992</c:v>
                </c:pt>
                <c:pt idx="42">
                  <c:v>46023</c:v>
                </c:pt>
                <c:pt idx="43">
                  <c:v>46054</c:v>
                </c:pt>
                <c:pt idx="44">
                  <c:v>46082</c:v>
                </c:pt>
                <c:pt idx="45">
                  <c:v>46113</c:v>
                </c:pt>
                <c:pt idx="46">
                  <c:v>46143</c:v>
                </c:pt>
                <c:pt idx="47">
                  <c:v>46174</c:v>
                </c:pt>
                <c:pt idx="48">
                  <c:v>46204</c:v>
                </c:pt>
                <c:pt idx="49">
                  <c:v>46235</c:v>
                </c:pt>
                <c:pt idx="50">
                  <c:v>46266</c:v>
                </c:pt>
                <c:pt idx="51">
                  <c:v>46296</c:v>
                </c:pt>
                <c:pt idx="52">
                  <c:v>46327</c:v>
                </c:pt>
                <c:pt idx="53">
                  <c:v>46357</c:v>
                </c:pt>
                <c:pt idx="54">
                  <c:v>46388</c:v>
                </c:pt>
                <c:pt idx="55">
                  <c:v>46419</c:v>
                </c:pt>
                <c:pt idx="56">
                  <c:v>46447</c:v>
                </c:pt>
                <c:pt idx="57">
                  <c:v>46478</c:v>
                </c:pt>
              </c:numCache>
            </c:numRef>
          </c:cat>
          <c:val>
            <c:numRef>
              <c:f>Sheet1!$F$2:$F$59</c:f>
              <c:numCache>
                <c:formatCode>0</c:formatCode>
                <c:ptCount val="58"/>
              </c:numCache>
            </c:numRef>
          </c:val>
          <c:extLst>
            <c:ext xmlns:c16="http://schemas.microsoft.com/office/drawing/2014/chart" uri="{C3380CC4-5D6E-409C-BE32-E72D297353CC}">
              <c16:uniqueId val="{00000004-D390-4B75-8AE2-71946A30CC46}"/>
            </c:ext>
          </c:extLst>
        </c:ser>
        <c:dLbls>
          <c:showLegendKey val="0"/>
          <c:showVal val="0"/>
          <c:showCatName val="0"/>
          <c:showSerName val="0"/>
          <c:showPercent val="0"/>
          <c:showBubbleSize val="0"/>
        </c:dLbls>
        <c:axId val="459309871"/>
        <c:axId val="459307951"/>
      </c:areaChart>
      <c:dateAx>
        <c:axId val="45930987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07951"/>
        <c:crosses val="autoZero"/>
        <c:auto val="1"/>
        <c:lblOffset val="100"/>
        <c:baseTimeUnit val="months"/>
      </c:dateAx>
      <c:valAx>
        <c:axId val="459307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098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10" b="0" i="0" u="none" strike="noStrike" kern="1200" spc="0" baseline="0">
                <a:solidFill>
                  <a:schemeClr val="tx1">
                    <a:lumMod val="65000"/>
                    <a:lumOff val="35000"/>
                  </a:schemeClr>
                </a:solidFill>
                <a:latin typeface="+mn-lt"/>
                <a:ea typeface="+mn-ea"/>
                <a:cs typeface="+mn-cs"/>
              </a:defRPr>
            </a:pPr>
            <a:r>
              <a:rPr lang="en-US" sz="1610" baseline="0"/>
              <a:t>Forecasted Sales</a:t>
            </a:r>
          </a:p>
        </c:rich>
      </c:tx>
      <c:overlay val="0"/>
      <c:spPr>
        <a:noFill/>
        <a:ln>
          <a:noFill/>
        </a:ln>
        <a:effectLst/>
      </c:spPr>
      <c:txPr>
        <a:bodyPr rot="0" spcFirstLastPara="1" vertOverflow="ellipsis" vert="horz" wrap="square" anchor="ctr" anchorCtr="1"/>
        <a:lstStyle/>
        <a:p>
          <a:pPr>
            <a:defRPr sz="161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Sheet1!$B$1</c:f>
              <c:strCache>
                <c:ptCount val="1"/>
                <c:pt idx="0">
                  <c:v>Number</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Sheet1!$A$2:$A$59</c:f>
              <c:numCache>
                <c:formatCode>m/d/yyyy</c:formatCode>
                <c:ptCount val="58"/>
                <c:pt idx="0">
                  <c:v>44743</c:v>
                </c:pt>
                <c:pt idx="1">
                  <c:v>44774</c:v>
                </c:pt>
                <c:pt idx="2">
                  <c:v>44805</c:v>
                </c:pt>
                <c:pt idx="3">
                  <c:v>44835</c:v>
                </c:pt>
                <c:pt idx="4">
                  <c:v>44866</c:v>
                </c:pt>
                <c:pt idx="5">
                  <c:v>44896</c:v>
                </c:pt>
                <c:pt idx="6">
                  <c:v>44927</c:v>
                </c:pt>
                <c:pt idx="7">
                  <c:v>44958</c:v>
                </c:pt>
                <c:pt idx="8">
                  <c:v>44986</c:v>
                </c:pt>
                <c:pt idx="9">
                  <c:v>45017</c:v>
                </c:pt>
                <c:pt idx="10">
                  <c:v>45047</c:v>
                </c:pt>
                <c:pt idx="11">
                  <c:v>45078</c:v>
                </c:pt>
                <c:pt idx="12">
                  <c:v>45108</c:v>
                </c:pt>
                <c:pt idx="13">
                  <c:v>45139</c:v>
                </c:pt>
                <c:pt idx="14">
                  <c:v>45170</c:v>
                </c:pt>
                <c:pt idx="15">
                  <c:v>45200</c:v>
                </c:pt>
                <c:pt idx="16">
                  <c:v>45231</c:v>
                </c:pt>
                <c:pt idx="17">
                  <c:v>45261</c:v>
                </c:pt>
                <c:pt idx="18">
                  <c:v>45292</c:v>
                </c:pt>
                <c:pt idx="19">
                  <c:v>45323</c:v>
                </c:pt>
                <c:pt idx="20">
                  <c:v>45352</c:v>
                </c:pt>
                <c:pt idx="21">
                  <c:v>45383</c:v>
                </c:pt>
                <c:pt idx="22">
                  <c:v>45413</c:v>
                </c:pt>
                <c:pt idx="23">
                  <c:v>45444</c:v>
                </c:pt>
                <c:pt idx="24">
                  <c:v>45474</c:v>
                </c:pt>
                <c:pt idx="25">
                  <c:v>45505</c:v>
                </c:pt>
                <c:pt idx="26">
                  <c:v>45536</c:v>
                </c:pt>
                <c:pt idx="27">
                  <c:v>45566</c:v>
                </c:pt>
                <c:pt idx="28">
                  <c:v>45597</c:v>
                </c:pt>
                <c:pt idx="29">
                  <c:v>45627</c:v>
                </c:pt>
                <c:pt idx="30">
                  <c:v>45658</c:v>
                </c:pt>
                <c:pt idx="31">
                  <c:v>45689</c:v>
                </c:pt>
                <c:pt idx="32">
                  <c:v>45717</c:v>
                </c:pt>
                <c:pt idx="33">
                  <c:v>45748</c:v>
                </c:pt>
                <c:pt idx="34">
                  <c:v>45778</c:v>
                </c:pt>
                <c:pt idx="35">
                  <c:v>45809</c:v>
                </c:pt>
                <c:pt idx="36">
                  <c:v>45839</c:v>
                </c:pt>
                <c:pt idx="37">
                  <c:v>45870</c:v>
                </c:pt>
                <c:pt idx="38">
                  <c:v>45901</c:v>
                </c:pt>
                <c:pt idx="39">
                  <c:v>45931</c:v>
                </c:pt>
                <c:pt idx="40">
                  <c:v>45962</c:v>
                </c:pt>
                <c:pt idx="41">
                  <c:v>45992</c:v>
                </c:pt>
                <c:pt idx="42">
                  <c:v>46023</c:v>
                </c:pt>
                <c:pt idx="43">
                  <c:v>46054</c:v>
                </c:pt>
                <c:pt idx="44">
                  <c:v>46082</c:v>
                </c:pt>
                <c:pt idx="45">
                  <c:v>46113</c:v>
                </c:pt>
                <c:pt idx="46">
                  <c:v>46143</c:v>
                </c:pt>
                <c:pt idx="47">
                  <c:v>46174</c:v>
                </c:pt>
                <c:pt idx="48">
                  <c:v>46204</c:v>
                </c:pt>
                <c:pt idx="49">
                  <c:v>46235</c:v>
                </c:pt>
                <c:pt idx="50">
                  <c:v>46266</c:v>
                </c:pt>
                <c:pt idx="51">
                  <c:v>46296</c:v>
                </c:pt>
                <c:pt idx="52">
                  <c:v>46327</c:v>
                </c:pt>
                <c:pt idx="53">
                  <c:v>46357</c:v>
                </c:pt>
                <c:pt idx="54">
                  <c:v>46388</c:v>
                </c:pt>
                <c:pt idx="55">
                  <c:v>46419</c:v>
                </c:pt>
                <c:pt idx="56">
                  <c:v>46447</c:v>
                </c:pt>
                <c:pt idx="57">
                  <c:v>46478</c:v>
                </c:pt>
              </c:numCache>
            </c:numRef>
          </c:xVal>
          <c:yVal>
            <c:numRef>
              <c:f>Sheet1!$B$2:$B$59</c:f>
              <c:numCache>
                <c:formatCode>0</c:formatCode>
                <c:ptCount val="58"/>
                <c:pt idx="0">
                  <c:v>250</c:v>
                </c:pt>
                <c:pt idx="1">
                  <c:v>239</c:v>
                </c:pt>
                <c:pt idx="2">
                  <c:v>207</c:v>
                </c:pt>
                <c:pt idx="3">
                  <c:v>212</c:v>
                </c:pt>
                <c:pt idx="4">
                  <c:v>262</c:v>
                </c:pt>
                <c:pt idx="5">
                  <c:v>367</c:v>
                </c:pt>
                <c:pt idx="6">
                  <c:v>213</c:v>
                </c:pt>
                <c:pt idx="7">
                  <c:v>209</c:v>
                </c:pt>
                <c:pt idx="8">
                  <c:v>239</c:v>
                </c:pt>
                <c:pt idx="9">
                  <c:v>262</c:v>
                </c:pt>
                <c:pt idx="10">
                  <c:v>293</c:v>
                </c:pt>
                <c:pt idx="11">
                  <c:v>323</c:v>
                </c:pt>
                <c:pt idx="12">
                  <c:v>343</c:v>
                </c:pt>
                <c:pt idx="13">
                  <c:v>327</c:v>
                </c:pt>
                <c:pt idx="14">
                  <c:v>313</c:v>
                </c:pt>
                <c:pt idx="15">
                  <c:v>320</c:v>
                </c:pt>
                <c:pt idx="16">
                  <c:v>347</c:v>
                </c:pt>
                <c:pt idx="17">
                  <c:v>376</c:v>
                </c:pt>
                <c:pt idx="18">
                  <c:v>322</c:v>
                </c:pt>
                <c:pt idx="19">
                  <c:v>316</c:v>
                </c:pt>
                <c:pt idx="20">
                  <c:v>342</c:v>
                </c:pt>
                <c:pt idx="21">
                  <c:v>354</c:v>
                </c:pt>
                <c:pt idx="22">
                  <c:v>402</c:v>
                </c:pt>
                <c:pt idx="23">
                  <c:v>415</c:v>
                </c:pt>
                <c:pt idx="24">
                  <c:v>447</c:v>
                </c:pt>
                <c:pt idx="25">
                  <c:v>435</c:v>
                </c:pt>
                <c:pt idx="26">
                  <c:v>399</c:v>
                </c:pt>
                <c:pt idx="27">
                  <c:v>408</c:v>
                </c:pt>
                <c:pt idx="28">
                  <c:v>456</c:v>
                </c:pt>
                <c:pt idx="29">
                  <c:v>437.5</c:v>
                </c:pt>
                <c:pt idx="30">
                  <c:v>419</c:v>
                </c:pt>
                <c:pt idx="31">
                  <c:v>402</c:v>
                </c:pt>
                <c:pt idx="32">
                  <c:v>446</c:v>
                </c:pt>
                <c:pt idx="33">
                  <c:v>451</c:v>
                </c:pt>
              </c:numCache>
            </c:numRef>
          </c:yVal>
          <c:smooth val="0"/>
          <c:extLst>
            <c:ext xmlns:c16="http://schemas.microsoft.com/office/drawing/2014/chart" uri="{C3380CC4-5D6E-409C-BE32-E72D297353CC}">
              <c16:uniqueId val="{00000000-F611-48FE-95E2-21EA8E196BEF}"/>
            </c:ext>
          </c:extLst>
        </c:ser>
        <c:ser>
          <c:idx val="1"/>
          <c:order val="1"/>
          <c:tx>
            <c:strRef>
              <c:f>Sheet1!$C$1</c:f>
              <c:strCache>
                <c:ptCount val="1"/>
                <c:pt idx="0">
                  <c:v>Forecast(Number)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Sheet1!$A$2:$A$59</c:f>
              <c:numCache>
                <c:formatCode>m/d/yyyy</c:formatCode>
                <c:ptCount val="58"/>
                <c:pt idx="0">
                  <c:v>44743</c:v>
                </c:pt>
                <c:pt idx="1">
                  <c:v>44774</c:v>
                </c:pt>
                <c:pt idx="2">
                  <c:v>44805</c:v>
                </c:pt>
                <c:pt idx="3">
                  <c:v>44835</c:v>
                </c:pt>
                <c:pt idx="4">
                  <c:v>44866</c:v>
                </c:pt>
                <c:pt idx="5">
                  <c:v>44896</c:v>
                </c:pt>
                <c:pt idx="6">
                  <c:v>44927</c:v>
                </c:pt>
                <c:pt idx="7">
                  <c:v>44958</c:v>
                </c:pt>
                <c:pt idx="8">
                  <c:v>44986</c:v>
                </c:pt>
                <c:pt idx="9">
                  <c:v>45017</c:v>
                </c:pt>
                <c:pt idx="10">
                  <c:v>45047</c:v>
                </c:pt>
                <c:pt idx="11">
                  <c:v>45078</c:v>
                </c:pt>
                <c:pt idx="12">
                  <c:v>45108</c:v>
                </c:pt>
                <c:pt idx="13">
                  <c:v>45139</c:v>
                </c:pt>
                <c:pt idx="14">
                  <c:v>45170</c:v>
                </c:pt>
                <c:pt idx="15">
                  <c:v>45200</c:v>
                </c:pt>
                <c:pt idx="16">
                  <c:v>45231</c:v>
                </c:pt>
                <c:pt idx="17">
                  <c:v>45261</c:v>
                </c:pt>
                <c:pt idx="18">
                  <c:v>45292</c:v>
                </c:pt>
                <c:pt idx="19">
                  <c:v>45323</c:v>
                </c:pt>
                <c:pt idx="20">
                  <c:v>45352</c:v>
                </c:pt>
                <c:pt idx="21">
                  <c:v>45383</c:v>
                </c:pt>
                <c:pt idx="22">
                  <c:v>45413</c:v>
                </c:pt>
                <c:pt idx="23">
                  <c:v>45444</c:v>
                </c:pt>
                <c:pt idx="24">
                  <c:v>45474</c:v>
                </c:pt>
                <c:pt idx="25">
                  <c:v>45505</c:v>
                </c:pt>
                <c:pt idx="26">
                  <c:v>45536</c:v>
                </c:pt>
                <c:pt idx="27">
                  <c:v>45566</c:v>
                </c:pt>
                <c:pt idx="28">
                  <c:v>45597</c:v>
                </c:pt>
                <c:pt idx="29">
                  <c:v>45627</c:v>
                </c:pt>
                <c:pt idx="30">
                  <c:v>45658</c:v>
                </c:pt>
                <c:pt idx="31">
                  <c:v>45689</c:v>
                </c:pt>
                <c:pt idx="32">
                  <c:v>45717</c:v>
                </c:pt>
                <c:pt idx="33">
                  <c:v>45748</c:v>
                </c:pt>
                <c:pt idx="34">
                  <c:v>45778</c:v>
                </c:pt>
                <c:pt idx="35">
                  <c:v>45809</c:v>
                </c:pt>
                <c:pt idx="36">
                  <c:v>45839</c:v>
                </c:pt>
                <c:pt idx="37">
                  <c:v>45870</c:v>
                </c:pt>
                <c:pt idx="38">
                  <c:v>45901</c:v>
                </c:pt>
                <c:pt idx="39">
                  <c:v>45931</c:v>
                </c:pt>
                <c:pt idx="40">
                  <c:v>45962</c:v>
                </c:pt>
                <c:pt idx="41">
                  <c:v>45992</c:v>
                </c:pt>
                <c:pt idx="42">
                  <c:v>46023</c:v>
                </c:pt>
                <c:pt idx="43">
                  <c:v>46054</c:v>
                </c:pt>
                <c:pt idx="44">
                  <c:v>46082</c:v>
                </c:pt>
                <c:pt idx="45">
                  <c:v>46113</c:v>
                </c:pt>
                <c:pt idx="46">
                  <c:v>46143</c:v>
                </c:pt>
                <c:pt idx="47">
                  <c:v>46174</c:v>
                </c:pt>
                <c:pt idx="48">
                  <c:v>46204</c:v>
                </c:pt>
                <c:pt idx="49">
                  <c:v>46235</c:v>
                </c:pt>
                <c:pt idx="50">
                  <c:v>46266</c:v>
                </c:pt>
                <c:pt idx="51">
                  <c:v>46296</c:v>
                </c:pt>
                <c:pt idx="52">
                  <c:v>46327</c:v>
                </c:pt>
                <c:pt idx="53">
                  <c:v>46357</c:v>
                </c:pt>
                <c:pt idx="54">
                  <c:v>46388</c:v>
                </c:pt>
                <c:pt idx="55">
                  <c:v>46419</c:v>
                </c:pt>
                <c:pt idx="56">
                  <c:v>46447</c:v>
                </c:pt>
                <c:pt idx="57">
                  <c:v>46478</c:v>
                </c:pt>
              </c:numCache>
            </c:numRef>
          </c:xVal>
          <c:yVal>
            <c:numRef>
              <c:f>Sheet1!$C$2:$C$59</c:f>
              <c:numCache>
                <c:formatCode>General</c:formatCode>
                <c:ptCount val="58"/>
                <c:pt idx="33" formatCode="0">
                  <c:v>451</c:v>
                </c:pt>
                <c:pt idx="34" formatCode="0">
                  <c:v>487.91147888212635</c:v>
                </c:pt>
                <c:pt idx="35" formatCode="0">
                  <c:v>512.24981663705512</c:v>
                </c:pt>
                <c:pt idx="36" formatCode="0">
                  <c:v>533.15400169950681</c:v>
                </c:pt>
                <c:pt idx="37" formatCode="0">
                  <c:v>517.96535657346772</c:v>
                </c:pt>
                <c:pt idx="38" formatCode="0">
                  <c:v>498.93111427847077</c:v>
                </c:pt>
                <c:pt idx="39" formatCode="0">
                  <c:v>505.94000552920471</c:v>
                </c:pt>
                <c:pt idx="40" formatCode="0">
                  <c:v>537.77733654736539</c:v>
                </c:pt>
                <c:pt idx="41" formatCode="0">
                  <c:v>596.00266400540795</c:v>
                </c:pt>
                <c:pt idx="42" formatCode="0">
                  <c:v>503.26250736427653</c:v>
                </c:pt>
                <c:pt idx="43" formatCode="0">
                  <c:v>496.55598695297834</c:v>
                </c:pt>
                <c:pt idx="44" formatCode="0">
                  <c:v>526.64549372450438</c:v>
                </c:pt>
                <c:pt idx="45" formatCode="0">
                  <c:v>542.59080230122322</c:v>
                </c:pt>
                <c:pt idx="46" formatCode="0">
                  <c:v>581.67647055175973</c:v>
                </c:pt>
                <c:pt idx="47" formatCode="0">
                  <c:v>606.01480830668845</c:v>
                </c:pt>
                <c:pt idx="48" formatCode="0">
                  <c:v>626.91899336914014</c:v>
                </c:pt>
                <c:pt idx="49" formatCode="0">
                  <c:v>611.73034824310105</c:v>
                </c:pt>
                <c:pt idx="50" formatCode="0">
                  <c:v>592.69610594810422</c:v>
                </c:pt>
                <c:pt idx="51" formatCode="0">
                  <c:v>599.70499719883799</c:v>
                </c:pt>
                <c:pt idx="52" formatCode="0">
                  <c:v>631.54232821699884</c:v>
                </c:pt>
                <c:pt idx="53" formatCode="0">
                  <c:v>689.76765567504128</c:v>
                </c:pt>
                <c:pt idx="54" formatCode="0">
                  <c:v>597.02749903390998</c:v>
                </c:pt>
                <c:pt idx="55" formatCode="0">
                  <c:v>590.32097862261162</c:v>
                </c:pt>
                <c:pt idx="56" formatCode="0">
                  <c:v>620.41048539413771</c:v>
                </c:pt>
                <c:pt idx="57" formatCode="0">
                  <c:v>636.35579397085655</c:v>
                </c:pt>
              </c:numCache>
            </c:numRef>
          </c:yVal>
          <c:smooth val="0"/>
          <c:extLst>
            <c:ext xmlns:c16="http://schemas.microsoft.com/office/drawing/2014/chart" uri="{C3380CC4-5D6E-409C-BE32-E72D297353CC}">
              <c16:uniqueId val="{00000001-F611-48FE-95E2-21EA8E196BEF}"/>
            </c:ext>
          </c:extLst>
        </c:ser>
        <c:dLbls>
          <c:dLblPos val="t"/>
          <c:showLegendKey val="0"/>
          <c:showVal val="1"/>
          <c:showCatName val="0"/>
          <c:showSerName val="0"/>
          <c:showPercent val="0"/>
          <c:showBubbleSize val="0"/>
        </c:dLbls>
        <c:axId val="617353807"/>
        <c:axId val="617358607"/>
      </c:scatterChart>
      <c:valAx>
        <c:axId val="617353807"/>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358607"/>
        <c:crosses val="autoZero"/>
        <c:crossBetween val="midCat"/>
      </c:valAx>
      <c:valAx>
        <c:axId val="617358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3538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17</xdr:col>
      <xdr:colOff>534737</xdr:colOff>
      <xdr:row>48</xdr:row>
      <xdr:rowOff>0</xdr:rowOff>
    </xdr:from>
    <xdr:to>
      <xdr:col>25</xdr:col>
      <xdr:colOff>780716</xdr:colOff>
      <xdr:row>64</xdr:row>
      <xdr:rowOff>45933</xdr:rowOff>
    </xdr:to>
    <xdr:pic>
      <xdr:nvPicPr>
        <xdr:cNvPr id="5" name="Picture 4">
          <a:extLst>
            <a:ext uri="{FF2B5EF4-FFF2-40B4-BE49-F238E27FC236}">
              <a16:creationId xmlns:a16="http://schemas.microsoft.com/office/drawing/2014/main" id="{14A250B1-8FC8-BB8D-63FE-8873C4C41B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170105" y="8916737"/>
          <a:ext cx="7879348" cy="45243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220980</xdr:colOff>
      <xdr:row>8</xdr:row>
      <xdr:rowOff>129540</xdr:rowOff>
    </xdr:from>
    <xdr:to>
      <xdr:col>5</xdr:col>
      <xdr:colOff>274320</xdr:colOff>
      <xdr:row>20</xdr:row>
      <xdr:rowOff>53340</xdr:rowOff>
    </xdr:to>
    <xdr:graphicFrame macro="">
      <xdr:nvGraphicFramePr>
        <xdr:cNvPr id="2" name="Chart 1">
          <a:extLst>
            <a:ext uri="{FF2B5EF4-FFF2-40B4-BE49-F238E27FC236}">
              <a16:creationId xmlns:a16="http://schemas.microsoft.com/office/drawing/2014/main" id="{446C35C5-DEF5-1EE2-C43B-6C95FF276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339587</xdr:colOff>
      <xdr:row>5</xdr:row>
      <xdr:rowOff>99392</xdr:rowOff>
    </xdr:from>
    <xdr:to>
      <xdr:col>26</xdr:col>
      <xdr:colOff>372716</xdr:colOff>
      <xdr:row>35</xdr:row>
      <xdr:rowOff>232741</xdr:rowOff>
    </xdr:to>
    <xdr:pic>
      <xdr:nvPicPr>
        <xdr:cNvPr id="3" name="Picture 2">
          <a:extLst>
            <a:ext uri="{FF2B5EF4-FFF2-40B4-BE49-F238E27FC236}">
              <a16:creationId xmlns:a16="http://schemas.microsoft.com/office/drawing/2014/main" id="{3760F265-0BF3-D61D-0711-2A106C160D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65804" y="1010479"/>
          <a:ext cx="9972260" cy="5599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110490</xdr:colOff>
      <xdr:row>8</xdr:row>
      <xdr:rowOff>171450</xdr:rowOff>
    </xdr:from>
    <xdr:to>
      <xdr:col>12</xdr:col>
      <xdr:colOff>41910</xdr:colOff>
      <xdr:row>23</xdr:row>
      <xdr:rowOff>171450</xdr:rowOff>
    </xdr:to>
    <xdr:graphicFrame macro="">
      <xdr:nvGraphicFramePr>
        <xdr:cNvPr id="2" name="Chart 1">
          <a:extLst>
            <a:ext uri="{FF2B5EF4-FFF2-40B4-BE49-F238E27FC236}">
              <a16:creationId xmlns:a16="http://schemas.microsoft.com/office/drawing/2014/main" id="{C15CF0C3-1D0A-F504-2596-CE6AE3F74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83820</xdr:colOff>
      <xdr:row>25</xdr:row>
      <xdr:rowOff>19049</xdr:rowOff>
    </xdr:from>
    <xdr:to>
      <xdr:col>17</xdr:col>
      <xdr:colOff>34119</xdr:colOff>
      <xdr:row>47</xdr:row>
      <xdr:rowOff>136477</xdr:rowOff>
    </xdr:to>
    <xdr:graphicFrame macro="">
      <xdr:nvGraphicFramePr>
        <xdr:cNvPr id="3" name="Chart 2">
          <a:extLst>
            <a:ext uri="{FF2B5EF4-FFF2-40B4-BE49-F238E27FC236}">
              <a16:creationId xmlns:a16="http://schemas.microsoft.com/office/drawing/2014/main" id="{26ADFB28-F386-1B13-D709-0AA989BE3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186218</xdr:colOff>
      <xdr:row>61</xdr:row>
      <xdr:rowOff>110053</xdr:rowOff>
    </xdr:from>
    <xdr:to>
      <xdr:col>12</xdr:col>
      <xdr:colOff>224829</xdr:colOff>
      <xdr:row>97</xdr:row>
      <xdr:rowOff>100318</xdr:rowOff>
    </xdr:to>
    <xdr:graphicFrame macro="">
      <xdr:nvGraphicFramePr>
        <xdr:cNvPr id="2" name="Chart 1">
          <a:extLst>
            <a:ext uri="{FF2B5EF4-FFF2-40B4-BE49-F238E27FC236}">
              <a16:creationId xmlns:a16="http://schemas.microsoft.com/office/drawing/2014/main" id="{58F854CE-8978-786F-F1A8-F623F4F32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22860</xdr:colOff>
      <xdr:row>30</xdr:row>
      <xdr:rowOff>0</xdr:rowOff>
    </xdr:from>
    <xdr:to>
      <xdr:col>26</xdr:col>
      <xdr:colOff>251460</xdr:colOff>
      <xdr:row>63</xdr:row>
      <xdr:rowOff>137160</xdr:rowOff>
    </xdr:to>
    <xdr:graphicFrame macro="">
      <xdr:nvGraphicFramePr>
        <xdr:cNvPr id="4" name="Chart 3">
          <a:extLst>
            <a:ext uri="{FF2B5EF4-FFF2-40B4-BE49-F238E27FC236}">
              <a16:creationId xmlns:a16="http://schemas.microsoft.com/office/drawing/2014/main" id="{69B95EC2-265A-4B8E-9F4D-7175EE59F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7619</xdr:colOff>
      <xdr:row>3</xdr:row>
      <xdr:rowOff>91440</xdr:rowOff>
    </xdr:from>
    <xdr:to>
      <xdr:col>29</xdr:col>
      <xdr:colOff>313764</xdr:colOff>
      <xdr:row>28</xdr:row>
      <xdr:rowOff>83820</xdr:rowOff>
    </xdr:to>
    <xdr:graphicFrame macro="">
      <xdr:nvGraphicFramePr>
        <xdr:cNvPr id="5" name="Chart 4">
          <a:extLst>
            <a:ext uri="{FF2B5EF4-FFF2-40B4-BE49-F238E27FC236}">
              <a16:creationId xmlns:a16="http://schemas.microsoft.com/office/drawing/2014/main" id="{76A8735E-A6AF-F84D-5637-5EAB110C0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websteru-my.sharepoint.com/personal/rhineeri_webster_edu/Documents/Documents/Webster/Management%20Dept/Webster%20Classes/MRKT%205895%20-%20Mkt%20Analytics/Homework%20-%20Instructor%20Materials/Instructor%20Answers%20(Current)/Homework%20-%20Week%203%20-%20Regression%20Analyses%20(answer).xlsx?584DED40" TargetMode="External"/><Relationship Id="rId1" Type="http://schemas.openxmlformats.org/officeDocument/2006/relationships/externalLinkPath" Target="file:///\\584DED40\Homework%20-%20Week%203%20-%20Regression%20Analyses%20(answe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Spr%20'18/MRKT%205895%20-%20Marketing%20Analytics/Final%20Exams/hughesstephen_late_3949452_57432120_Final%20Exam.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Spr%20'18/MRKT%205895%20-%20Marketing%20Analytics/Final%20Exams/floresjacob_late_5180862_57439582_Final%20Exam%20(Autosav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websteru-my.sharepoint.com/Users/jeffreysalas86/Downloads/Final%20Exam_A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websteru-my.sharepoint.com/Users/jeffreysalas86/AppData/Local/Temp/Temp1_Excel%20Files%20(1).zip/Chapter%202%20Excel%20Files/Chapter2chart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chineseint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MRKT%205895%20-%20Mkt%20Analytics/Exam%20Material/Final%20Exam%20-%20Answer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websteru-my.sharepoint.com/Users/winston.ADS/Documents/nov11/retailwinter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websteru-my.sharepoint.com/Users/winston/AppData/Local/Microsoft/Windows/Temporary%20Internet%20Files/Content.IE5/VPCODKB2/hw08/K509fall07hw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MRKT%205895%20-%20Mkt%20Analytics/CLV%20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websteru-my.sharepoint.com/Users/winston/AppData/Local/Microsoft/Windows/Temporary%20Internet%20Files/Content.IE5/VPCODKB2/Old%20C%20drive/execmodule/execmod3asses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websteru-my.sharepoint.com/Users/winston/AppData/Local/Microsoft/Windows/Temporary%20Internet%20Files/Content.IE5/VPCODKB2/k510temp/solhw3k50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Spr%20'18/MRKT%205895%20-%20Marketing%20Analytics/Final%20Exams/danieldeanna_late_5187794_57433834_DeAnnaDaniel_FinalExam_MRKT589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ression (1)"/>
      <sheetName val="Regression (2)"/>
      <sheetName val="Cupcake Data"/>
      <sheetName val="Cupcake - Pearl"/>
      <sheetName val="Cupcake - Gompertz"/>
      <sheetName val="Avocado Data"/>
      <sheetName val="Avocado - Additive trend"/>
      <sheetName val="Avocado - Multiplicative trend"/>
    </sheetNames>
    <sheetDataSet>
      <sheetData sheetId="0"/>
      <sheetData sheetId="1"/>
      <sheetData sheetId="2"/>
      <sheetData sheetId="3"/>
      <sheetData sheetId="4">
        <row r="7">
          <cell r="D7">
            <v>3913.3720035327406</v>
          </cell>
          <cell r="E7">
            <v>0.17837434080566089</v>
          </cell>
          <cell r="F7">
            <v>6.2745681511159006</v>
          </cell>
        </row>
      </sheetData>
      <sheetData sheetId="5"/>
      <sheetData sheetId="6">
        <row r="3">
          <cell r="B3">
            <v>8.0588874373592692</v>
          </cell>
        </row>
      </sheetData>
      <sheetData sheetId="7">
        <row r="2">
          <cell r="B2">
            <v>223.30751239232714</v>
          </cell>
        </row>
        <row r="3">
          <cell r="B3">
            <v>1.0209287373902627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a"/>
      <sheetName val="Trend &amp; Seasonality b"/>
      <sheetName val="Single &amp; Multiple Pricing"/>
      <sheetName val="S-curve"/>
      <sheetName val="RFM"/>
      <sheetName val="Cluster"/>
      <sheetName val="MDS"/>
      <sheetName val="CLV"/>
      <sheetName val="Forecast"/>
      <sheetName val="Point Sheet"/>
    </sheetNames>
    <sheetDataSet>
      <sheetData sheetId="0" refreshError="1">
        <row r="12">
          <cell r="W12">
            <v>1</v>
          </cell>
        </row>
        <row r="13">
          <cell r="W13">
            <v>2.0031695573773529</v>
          </cell>
        </row>
        <row r="14">
          <cell r="W14">
            <v>5.3963500000000071</v>
          </cell>
        </row>
        <row r="133">
          <cell r="N133" t="str">
            <v>Customer</v>
          </cell>
          <cell r="O133" t="str">
            <v>Soap Ingredience</v>
          </cell>
          <cell r="P133" t="str">
            <v>Soap Fragrance</v>
          </cell>
          <cell r="Q133" t="str">
            <v>Color Options</v>
          </cell>
          <cell r="R133" t="str">
            <v>z Ingredients</v>
          </cell>
          <cell r="S133"/>
          <cell r="T133" t="str">
            <v>z Fragrance</v>
          </cell>
          <cell r="U133" t="str">
            <v>z Color</v>
          </cell>
        </row>
        <row r="134">
          <cell r="N134">
            <v>1</v>
          </cell>
          <cell r="O134">
            <v>5</v>
          </cell>
          <cell r="P134">
            <v>5</v>
          </cell>
          <cell r="Q134">
            <v>2</v>
          </cell>
          <cell r="R134">
            <v>0.49614331465336126</v>
          </cell>
          <cell r="T134">
            <v>0.59271310737004301</v>
          </cell>
          <cell r="U134">
            <v>-1.0614362781511688</v>
          </cell>
        </row>
        <row r="135">
          <cell r="N135">
            <v>2</v>
          </cell>
          <cell r="O135">
            <v>7</v>
          </cell>
          <cell r="P135">
            <v>5</v>
          </cell>
          <cell r="Q135">
            <v>1</v>
          </cell>
          <cell r="R135">
            <v>1.5510065782406881</v>
          </cell>
          <cell r="T135">
            <v>0.59271310737004301</v>
          </cell>
          <cell r="U135">
            <v>-1.6131961055601465</v>
          </cell>
        </row>
        <row r="136">
          <cell r="N136">
            <v>3</v>
          </cell>
          <cell r="O136">
            <v>3</v>
          </cell>
          <cell r="P136">
            <v>5</v>
          </cell>
          <cell r="Q136">
            <v>4</v>
          </cell>
          <cell r="R136">
            <v>-0.5587199489339657</v>
          </cell>
          <cell r="T136">
            <v>0.59271310737004301</v>
          </cell>
          <cell r="U136">
            <v>4.2083376666786312E-2</v>
          </cell>
        </row>
        <row r="137">
          <cell r="N137">
            <v>4</v>
          </cell>
          <cell r="O137">
            <v>4</v>
          </cell>
          <cell r="P137">
            <v>5</v>
          </cell>
          <cell r="Q137">
            <v>4</v>
          </cell>
          <cell r="R137">
            <v>-3.1288317140302224E-2</v>
          </cell>
          <cell r="T137">
            <v>0.59271310737004301</v>
          </cell>
          <cell r="U137">
            <v>4.2083376666786312E-2</v>
          </cell>
        </row>
        <row r="138">
          <cell r="N138">
            <v>5</v>
          </cell>
          <cell r="O138">
            <v>6</v>
          </cell>
          <cell r="P138">
            <v>5</v>
          </cell>
          <cell r="Q138">
            <v>2</v>
          </cell>
          <cell r="R138">
            <v>1.0235749464470247</v>
          </cell>
          <cell r="T138">
            <v>0.59271310737004301</v>
          </cell>
          <cell r="U138">
            <v>-1.0614362781511688</v>
          </cell>
        </row>
        <row r="139">
          <cell r="N139">
            <v>6</v>
          </cell>
          <cell r="O139">
            <v>5</v>
          </cell>
          <cell r="P139">
            <v>6</v>
          </cell>
          <cell r="Q139">
            <v>5</v>
          </cell>
          <cell r="R139">
            <v>0.49614331465336126</v>
          </cell>
          <cell r="T139">
            <v>1.1185788718036149</v>
          </cell>
          <cell r="U139">
            <v>0.59384320407576385</v>
          </cell>
        </row>
        <row r="140">
          <cell r="N140">
            <v>7</v>
          </cell>
          <cell r="O140">
            <v>3</v>
          </cell>
          <cell r="P140">
            <v>1</v>
          </cell>
          <cell r="Q140">
            <v>7</v>
          </cell>
          <cell r="R140">
            <v>-0.5587199489339657</v>
          </cell>
          <cell r="T140">
            <v>-1.5107499503642448</v>
          </cell>
          <cell r="U140">
            <v>1.6973628588937191</v>
          </cell>
        </row>
        <row r="141">
          <cell r="N141">
            <v>8</v>
          </cell>
          <cell r="O141">
            <v>6</v>
          </cell>
          <cell r="P141">
            <v>3</v>
          </cell>
          <cell r="Q141">
            <v>2</v>
          </cell>
          <cell r="R141">
            <v>1.0235749464470247</v>
          </cell>
          <cell r="T141">
            <v>-0.45901842149710087</v>
          </cell>
          <cell r="U141">
            <v>-1.0614362781511688</v>
          </cell>
        </row>
        <row r="142">
          <cell r="N142">
            <v>9</v>
          </cell>
          <cell r="O142">
            <v>7</v>
          </cell>
          <cell r="P142">
            <v>5</v>
          </cell>
          <cell r="Q142">
            <v>3</v>
          </cell>
          <cell r="R142">
            <v>1.5510065782406881</v>
          </cell>
          <cell r="T142">
            <v>0.59271310737004301</v>
          </cell>
          <cell r="U142">
            <v>-0.50967645074219126</v>
          </cell>
        </row>
        <row r="143">
          <cell r="N143">
            <v>10</v>
          </cell>
          <cell r="O143">
            <v>5</v>
          </cell>
          <cell r="P143">
            <v>3</v>
          </cell>
          <cell r="Q143">
            <v>2</v>
          </cell>
          <cell r="R143">
            <v>0.49614331465336126</v>
          </cell>
          <cell r="T143">
            <v>-0.45901842149710087</v>
          </cell>
          <cell r="U143">
            <v>-1.0614362781511688</v>
          </cell>
        </row>
        <row r="144">
          <cell r="N144">
            <v>11</v>
          </cell>
          <cell r="O144">
            <v>5</v>
          </cell>
          <cell r="P144">
            <v>6</v>
          </cell>
          <cell r="Q144">
            <v>4</v>
          </cell>
          <cell r="R144">
            <v>0.49614331465336126</v>
          </cell>
          <cell r="T144">
            <v>1.1185788718036149</v>
          </cell>
          <cell r="U144">
            <v>4.2083376666786312E-2</v>
          </cell>
        </row>
        <row r="145">
          <cell r="N145">
            <v>12</v>
          </cell>
          <cell r="O145">
            <v>3</v>
          </cell>
          <cell r="P145">
            <v>7</v>
          </cell>
          <cell r="Q145">
            <v>5</v>
          </cell>
          <cell r="R145">
            <v>-0.5587199489339657</v>
          </cell>
          <cell r="T145">
            <v>1.644444636237187</v>
          </cell>
          <cell r="U145">
            <v>0.59384320407576385</v>
          </cell>
        </row>
        <row r="146">
          <cell r="N146">
            <v>13</v>
          </cell>
          <cell r="O146">
            <v>2</v>
          </cell>
          <cell r="P146">
            <v>3</v>
          </cell>
          <cell r="Q146">
            <v>7</v>
          </cell>
          <cell r="R146">
            <v>-1.0861515807276292</v>
          </cell>
          <cell r="T146">
            <v>-0.45901842149710087</v>
          </cell>
          <cell r="U146">
            <v>1.6973628588937191</v>
          </cell>
        </row>
        <row r="147">
          <cell r="N147">
            <v>14</v>
          </cell>
          <cell r="O147">
            <v>3</v>
          </cell>
          <cell r="P147">
            <v>7</v>
          </cell>
          <cell r="Q147">
            <v>5</v>
          </cell>
          <cell r="R147">
            <v>-0.5587199489339657</v>
          </cell>
          <cell r="T147">
            <v>1.644444636237187</v>
          </cell>
          <cell r="U147">
            <v>0.59384320407576385</v>
          </cell>
        </row>
        <row r="148">
          <cell r="N148">
            <v>15</v>
          </cell>
          <cell r="O148">
            <v>5</v>
          </cell>
          <cell r="P148">
            <v>6</v>
          </cell>
          <cell r="Q148">
            <v>5</v>
          </cell>
          <cell r="R148">
            <v>0.49614331465336126</v>
          </cell>
          <cell r="T148">
            <v>1.1185788718036149</v>
          </cell>
          <cell r="U148">
            <v>0.59384320407576385</v>
          </cell>
        </row>
        <row r="149">
          <cell r="N149">
            <v>16</v>
          </cell>
          <cell r="O149">
            <v>5</v>
          </cell>
          <cell r="P149">
            <v>5</v>
          </cell>
          <cell r="Q149">
            <v>1</v>
          </cell>
          <cell r="R149">
            <v>0.49614331465336126</v>
          </cell>
          <cell r="T149">
            <v>0.59271310737004301</v>
          </cell>
          <cell r="U149">
            <v>-1.6131961055601465</v>
          </cell>
        </row>
        <row r="150">
          <cell r="N150">
            <v>17</v>
          </cell>
          <cell r="O150">
            <v>4</v>
          </cell>
          <cell r="P150">
            <v>7</v>
          </cell>
          <cell r="Q150">
            <v>5</v>
          </cell>
          <cell r="R150">
            <v>-3.1288317140302224E-2</v>
          </cell>
          <cell r="T150">
            <v>1.644444636237187</v>
          </cell>
          <cell r="U150">
            <v>0.59384320407576385</v>
          </cell>
        </row>
        <row r="151">
          <cell r="N151">
            <v>18</v>
          </cell>
          <cell r="O151">
            <v>4</v>
          </cell>
          <cell r="P151">
            <v>6</v>
          </cell>
          <cell r="Q151">
            <v>5</v>
          </cell>
          <cell r="R151">
            <v>-3.1288317140302224E-2</v>
          </cell>
          <cell r="T151">
            <v>1.1185788718036149</v>
          </cell>
          <cell r="U151">
            <v>0.59384320407576385</v>
          </cell>
        </row>
        <row r="152">
          <cell r="N152">
            <v>19</v>
          </cell>
          <cell r="O152">
            <v>3</v>
          </cell>
          <cell r="P152">
            <v>5</v>
          </cell>
          <cell r="Q152">
            <v>3</v>
          </cell>
          <cell r="R152">
            <v>-0.5587199489339657</v>
          </cell>
          <cell r="T152">
            <v>0.59271310737004301</v>
          </cell>
          <cell r="U152">
            <v>-0.50967645074219126</v>
          </cell>
        </row>
        <row r="153">
          <cell r="N153">
            <v>20</v>
          </cell>
          <cell r="O153">
            <v>1</v>
          </cell>
          <cell r="P153">
            <v>1</v>
          </cell>
          <cell r="Q153">
            <v>7</v>
          </cell>
          <cell r="R153">
            <v>-1.6135832125212926</v>
          </cell>
          <cell r="T153">
            <v>-1.5107499503642448</v>
          </cell>
          <cell r="U153">
            <v>1.6973628588937191</v>
          </cell>
        </row>
        <row r="154">
          <cell r="N154">
            <v>21</v>
          </cell>
          <cell r="O154">
            <v>3</v>
          </cell>
          <cell r="P154">
            <v>1</v>
          </cell>
          <cell r="Q154">
            <v>5</v>
          </cell>
          <cell r="R154">
            <v>-0.5587199489339657</v>
          </cell>
          <cell r="T154">
            <v>-1.5107499503642448</v>
          </cell>
          <cell r="U154">
            <v>0.59384320407576385</v>
          </cell>
        </row>
        <row r="155">
          <cell r="N155">
            <v>22</v>
          </cell>
          <cell r="O155">
            <v>4</v>
          </cell>
          <cell r="P155">
            <v>7</v>
          </cell>
          <cell r="Q155">
            <v>3</v>
          </cell>
          <cell r="R155">
            <v>-3.1288317140302224E-2</v>
          </cell>
          <cell r="T155">
            <v>1.644444636237187</v>
          </cell>
          <cell r="U155">
            <v>-0.50967645074219126</v>
          </cell>
        </row>
        <row r="156">
          <cell r="N156">
            <v>23</v>
          </cell>
          <cell r="O156">
            <v>5</v>
          </cell>
          <cell r="P156">
            <v>5</v>
          </cell>
          <cell r="Q156">
            <v>4</v>
          </cell>
          <cell r="R156">
            <v>0.49614331465336126</v>
          </cell>
          <cell r="T156">
            <v>0.59271310737004301</v>
          </cell>
          <cell r="U156">
            <v>4.2083376666786312E-2</v>
          </cell>
        </row>
        <row r="157">
          <cell r="N157">
            <v>24</v>
          </cell>
          <cell r="O157">
            <v>6</v>
          </cell>
          <cell r="P157">
            <v>3</v>
          </cell>
          <cell r="Q157">
            <v>3</v>
          </cell>
          <cell r="R157">
            <v>1.0235749464470247</v>
          </cell>
          <cell r="T157">
            <v>-0.45901842149710087</v>
          </cell>
          <cell r="U157">
            <v>-0.50967645074219126</v>
          </cell>
        </row>
        <row r="158">
          <cell r="N158">
            <v>25</v>
          </cell>
          <cell r="O158">
            <v>3</v>
          </cell>
          <cell r="P158">
            <v>2</v>
          </cell>
          <cell r="Q158">
            <v>5</v>
          </cell>
          <cell r="R158">
            <v>-0.5587199489339657</v>
          </cell>
          <cell r="T158">
            <v>-0.98488418593067284</v>
          </cell>
          <cell r="U158">
            <v>0.59384320407576385</v>
          </cell>
        </row>
        <row r="159">
          <cell r="N159">
            <v>26</v>
          </cell>
          <cell r="O159">
            <v>3</v>
          </cell>
          <cell r="P159">
            <v>2</v>
          </cell>
          <cell r="Q159">
            <v>5</v>
          </cell>
          <cell r="R159">
            <v>-0.5587199489339657</v>
          </cell>
          <cell r="T159">
            <v>-0.98488418593067284</v>
          </cell>
          <cell r="U159">
            <v>0.59384320407576385</v>
          </cell>
        </row>
        <row r="160">
          <cell r="N160">
            <v>27</v>
          </cell>
          <cell r="O160">
            <v>2</v>
          </cell>
          <cell r="P160">
            <v>2</v>
          </cell>
          <cell r="Q160">
            <v>7</v>
          </cell>
          <cell r="R160">
            <v>-1.0861515807276292</v>
          </cell>
          <cell r="T160">
            <v>-0.98488418593067284</v>
          </cell>
          <cell r="U160">
            <v>1.6973628588937191</v>
          </cell>
        </row>
        <row r="161">
          <cell r="N161">
            <v>28</v>
          </cell>
          <cell r="O161">
            <v>5</v>
          </cell>
          <cell r="P161">
            <v>5</v>
          </cell>
          <cell r="Q161">
            <v>3</v>
          </cell>
          <cell r="R161">
            <v>0.49614331465336126</v>
          </cell>
          <cell r="T161">
            <v>0.59271310737004301</v>
          </cell>
          <cell r="U161">
            <v>-0.50967645074219126</v>
          </cell>
        </row>
        <row r="162">
          <cell r="N162">
            <v>29</v>
          </cell>
          <cell r="O162">
            <v>3</v>
          </cell>
          <cell r="P162">
            <v>2</v>
          </cell>
          <cell r="Q162">
            <v>7</v>
          </cell>
          <cell r="R162">
            <v>-0.5587199489339657</v>
          </cell>
          <cell r="T162">
            <v>-0.98488418593067284</v>
          </cell>
          <cell r="U162">
            <v>1.6973628588937191</v>
          </cell>
        </row>
        <row r="163">
          <cell r="N163">
            <v>30</v>
          </cell>
          <cell r="O163">
            <v>2</v>
          </cell>
          <cell r="P163">
            <v>1</v>
          </cell>
          <cell r="Q163">
            <v>5</v>
          </cell>
          <cell r="R163">
            <v>-1.0861515807276292</v>
          </cell>
          <cell r="T163">
            <v>-1.5107499503642448</v>
          </cell>
          <cell r="U163">
            <v>0.59384320407576385</v>
          </cell>
        </row>
        <row r="164">
          <cell r="N164">
            <v>31</v>
          </cell>
          <cell r="O164">
            <v>5</v>
          </cell>
          <cell r="P164">
            <v>5</v>
          </cell>
          <cell r="Q164">
            <v>4</v>
          </cell>
          <cell r="R164">
            <v>0.49614331465336126</v>
          </cell>
          <cell r="T164">
            <v>0.59271310737004301</v>
          </cell>
          <cell r="U164">
            <v>4.2083376666786312E-2</v>
          </cell>
        </row>
        <row r="165">
          <cell r="N165">
            <v>32</v>
          </cell>
          <cell r="O165">
            <v>6</v>
          </cell>
          <cell r="P165">
            <v>3</v>
          </cell>
          <cell r="Q165">
            <v>2</v>
          </cell>
          <cell r="R165">
            <v>1.0235749464470247</v>
          </cell>
          <cell r="T165">
            <v>-0.45901842149710087</v>
          </cell>
          <cell r="U165">
            <v>-1.0614362781511688</v>
          </cell>
        </row>
        <row r="166">
          <cell r="N166">
            <v>33</v>
          </cell>
          <cell r="O166">
            <v>5</v>
          </cell>
          <cell r="P166">
            <v>7</v>
          </cell>
          <cell r="Q166">
            <v>5</v>
          </cell>
          <cell r="R166">
            <v>0.49614331465336126</v>
          </cell>
          <cell r="T166">
            <v>1.644444636237187</v>
          </cell>
          <cell r="U166">
            <v>0.59384320407576385</v>
          </cell>
        </row>
        <row r="167">
          <cell r="N167">
            <v>34</v>
          </cell>
          <cell r="O167">
            <v>5</v>
          </cell>
          <cell r="P167">
            <v>4</v>
          </cell>
          <cell r="Q167">
            <v>1</v>
          </cell>
          <cell r="R167">
            <v>0.49614331465336126</v>
          </cell>
          <cell r="T167">
            <v>6.6847342936471071E-2</v>
          </cell>
          <cell r="U167">
            <v>-1.6131961055601465</v>
          </cell>
        </row>
        <row r="168">
          <cell r="N168">
            <v>35</v>
          </cell>
          <cell r="O168">
            <v>2</v>
          </cell>
          <cell r="P168">
            <v>2</v>
          </cell>
          <cell r="Q168">
            <v>7</v>
          </cell>
          <cell r="R168">
            <v>-1.0861515807276292</v>
          </cell>
          <cell r="T168">
            <v>-0.98488418593067284</v>
          </cell>
          <cell r="U168">
            <v>1.6973628588937191</v>
          </cell>
        </row>
        <row r="169">
          <cell r="N169">
            <v>36</v>
          </cell>
          <cell r="O169">
            <v>1</v>
          </cell>
          <cell r="P169">
            <v>1</v>
          </cell>
          <cell r="Q169">
            <v>6</v>
          </cell>
          <cell r="R169">
            <v>-1.6135832125212926</v>
          </cell>
          <cell r="T169">
            <v>-1.5107499503642448</v>
          </cell>
          <cell r="U169">
            <v>1.1456030314847414</v>
          </cell>
        </row>
        <row r="170">
          <cell r="N170">
            <v>37</v>
          </cell>
          <cell r="O170">
            <v>3</v>
          </cell>
          <cell r="P170">
            <v>1</v>
          </cell>
          <cell r="Q170">
            <v>5</v>
          </cell>
          <cell r="R170">
            <v>-0.5587199489339657</v>
          </cell>
          <cell r="T170">
            <v>-1.5107499503642448</v>
          </cell>
          <cell r="U170">
            <v>0.59384320407576385</v>
          </cell>
        </row>
        <row r="171">
          <cell r="N171">
            <v>38</v>
          </cell>
          <cell r="O171">
            <v>3</v>
          </cell>
          <cell r="P171">
            <v>6</v>
          </cell>
          <cell r="Q171">
            <v>3</v>
          </cell>
          <cell r="R171">
            <v>-0.5587199489339657</v>
          </cell>
          <cell r="T171">
            <v>1.1185788718036149</v>
          </cell>
          <cell r="U171">
            <v>-0.50967645074219126</v>
          </cell>
        </row>
        <row r="172">
          <cell r="N172">
            <v>39</v>
          </cell>
          <cell r="O172">
            <v>5</v>
          </cell>
          <cell r="P172">
            <v>7</v>
          </cell>
          <cell r="Q172">
            <v>5</v>
          </cell>
          <cell r="R172">
            <v>0.49614331465336126</v>
          </cell>
          <cell r="T172">
            <v>1.644444636237187</v>
          </cell>
          <cell r="U172">
            <v>0.59384320407576385</v>
          </cell>
        </row>
        <row r="173">
          <cell r="N173">
            <v>40</v>
          </cell>
          <cell r="O173">
            <v>3</v>
          </cell>
          <cell r="P173">
            <v>2</v>
          </cell>
          <cell r="Q173">
            <v>6</v>
          </cell>
          <cell r="R173">
            <v>-0.5587199489339657</v>
          </cell>
          <cell r="T173">
            <v>-0.98488418593067284</v>
          </cell>
          <cell r="U173">
            <v>1.1456030314847414</v>
          </cell>
        </row>
        <row r="174">
          <cell r="N174">
            <v>41</v>
          </cell>
          <cell r="O174">
            <v>5</v>
          </cell>
          <cell r="P174">
            <v>3</v>
          </cell>
          <cell r="Q174">
            <v>3</v>
          </cell>
          <cell r="R174">
            <v>0.49614331465336126</v>
          </cell>
          <cell r="T174">
            <v>-0.45901842149710087</v>
          </cell>
          <cell r="U174">
            <v>-0.50967645074219126</v>
          </cell>
        </row>
        <row r="175">
          <cell r="N175">
            <v>42</v>
          </cell>
          <cell r="O175">
            <v>3</v>
          </cell>
          <cell r="P175">
            <v>6</v>
          </cell>
          <cell r="Q175">
            <v>3</v>
          </cell>
          <cell r="R175">
            <v>-0.5587199489339657</v>
          </cell>
          <cell r="T175">
            <v>1.1185788718036149</v>
          </cell>
          <cell r="U175">
            <v>-0.50967645074219126</v>
          </cell>
        </row>
        <row r="176">
          <cell r="N176">
            <v>43</v>
          </cell>
          <cell r="O176">
            <v>4</v>
          </cell>
          <cell r="P176">
            <v>6</v>
          </cell>
          <cell r="Q176">
            <v>5</v>
          </cell>
          <cell r="R176">
            <v>-3.1288317140302224E-2</v>
          </cell>
          <cell r="T176">
            <v>1.1185788718036149</v>
          </cell>
          <cell r="U176">
            <v>0.59384320407576385</v>
          </cell>
        </row>
        <row r="177">
          <cell r="N177">
            <v>44</v>
          </cell>
          <cell r="O177">
            <v>7</v>
          </cell>
          <cell r="P177">
            <v>4</v>
          </cell>
          <cell r="Q177">
            <v>2</v>
          </cell>
          <cell r="R177">
            <v>1.5510065782406881</v>
          </cell>
          <cell r="T177">
            <v>6.6847342936471071E-2</v>
          </cell>
          <cell r="U177">
            <v>-1.0614362781511688</v>
          </cell>
        </row>
        <row r="178">
          <cell r="N178">
            <v>45</v>
          </cell>
          <cell r="O178">
            <v>4</v>
          </cell>
          <cell r="P178">
            <v>6</v>
          </cell>
          <cell r="Q178">
            <v>3</v>
          </cell>
          <cell r="R178">
            <v>-3.1288317140302224E-2</v>
          </cell>
          <cell r="T178">
            <v>1.1185788718036149</v>
          </cell>
          <cell r="U178">
            <v>-0.50967645074219126</v>
          </cell>
        </row>
        <row r="179">
          <cell r="N179">
            <v>46</v>
          </cell>
          <cell r="O179">
            <v>4</v>
          </cell>
          <cell r="P179">
            <v>7</v>
          </cell>
          <cell r="Q179">
            <v>4</v>
          </cell>
          <cell r="R179">
            <v>-3.1288317140302224E-2</v>
          </cell>
          <cell r="T179">
            <v>1.644444636237187</v>
          </cell>
          <cell r="U179">
            <v>4.2083376666786312E-2</v>
          </cell>
        </row>
        <row r="180">
          <cell r="N180">
            <v>47</v>
          </cell>
          <cell r="O180">
            <v>2</v>
          </cell>
          <cell r="P180">
            <v>3</v>
          </cell>
          <cell r="Q180">
            <v>5</v>
          </cell>
          <cell r="R180">
            <v>-1.0861515807276292</v>
          </cell>
          <cell r="T180">
            <v>-0.45901842149710087</v>
          </cell>
          <cell r="U180">
            <v>0.59384320407576385</v>
          </cell>
        </row>
        <row r="181">
          <cell r="N181">
            <v>48</v>
          </cell>
          <cell r="O181">
            <v>7</v>
          </cell>
          <cell r="P181">
            <v>3</v>
          </cell>
          <cell r="Q181">
            <v>1</v>
          </cell>
          <cell r="R181">
            <v>1.5510065782406881</v>
          </cell>
          <cell r="T181">
            <v>-0.45901842149710087</v>
          </cell>
          <cell r="U181">
            <v>-1.6131961055601465</v>
          </cell>
        </row>
        <row r="182">
          <cell r="N182">
            <v>49</v>
          </cell>
          <cell r="O182">
            <v>2</v>
          </cell>
          <cell r="P182">
            <v>2</v>
          </cell>
          <cell r="Q182">
            <v>5</v>
          </cell>
          <cell r="R182">
            <v>-1.0861515807276292</v>
          </cell>
          <cell r="T182">
            <v>-0.98488418593067284</v>
          </cell>
          <cell r="U182">
            <v>0.59384320407576385</v>
          </cell>
        </row>
        <row r="183">
          <cell r="N183">
            <v>50</v>
          </cell>
          <cell r="O183">
            <v>5</v>
          </cell>
          <cell r="P183">
            <v>3</v>
          </cell>
          <cell r="Q183">
            <v>3</v>
          </cell>
          <cell r="R183">
            <v>0.49614331465336126</v>
          </cell>
          <cell r="T183">
            <v>-0.45901842149710087</v>
          </cell>
          <cell r="U183">
            <v>-0.50967645074219126</v>
          </cell>
        </row>
        <row r="184">
          <cell r="N184">
            <v>51</v>
          </cell>
          <cell r="O184">
            <v>3</v>
          </cell>
          <cell r="P184">
            <v>3</v>
          </cell>
          <cell r="Q184">
            <v>7</v>
          </cell>
          <cell r="R184">
            <v>-0.5587199489339657</v>
          </cell>
          <cell r="T184">
            <v>-0.45901842149710087</v>
          </cell>
          <cell r="U184">
            <v>1.6973628588937191</v>
          </cell>
        </row>
        <row r="185">
          <cell r="N185">
            <v>52</v>
          </cell>
          <cell r="O185">
            <v>4</v>
          </cell>
          <cell r="P185">
            <v>6</v>
          </cell>
          <cell r="Q185">
            <v>5</v>
          </cell>
          <cell r="R185">
            <v>-3.1288317140302224E-2</v>
          </cell>
          <cell r="T185">
            <v>1.1185788718036149</v>
          </cell>
          <cell r="U185">
            <v>0.59384320407576385</v>
          </cell>
        </row>
        <row r="186">
          <cell r="N186">
            <v>53</v>
          </cell>
          <cell r="O186">
            <v>6</v>
          </cell>
          <cell r="P186">
            <v>3</v>
          </cell>
          <cell r="Q186">
            <v>2</v>
          </cell>
          <cell r="R186">
            <v>1.0235749464470247</v>
          </cell>
          <cell r="T186">
            <v>-0.45901842149710087</v>
          </cell>
          <cell r="U186">
            <v>-1.0614362781511688</v>
          </cell>
        </row>
        <row r="187">
          <cell r="N187">
            <v>54</v>
          </cell>
          <cell r="O187">
            <v>4</v>
          </cell>
          <cell r="P187">
            <v>7</v>
          </cell>
          <cell r="Q187">
            <v>4</v>
          </cell>
          <cell r="R187">
            <v>-3.1288317140302224E-2</v>
          </cell>
          <cell r="T187">
            <v>1.644444636237187</v>
          </cell>
          <cell r="U187">
            <v>4.2083376666786312E-2</v>
          </cell>
        </row>
        <row r="188">
          <cell r="N188">
            <v>55</v>
          </cell>
          <cell r="O188">
            <v>2</v>
          </cell>
          <cell r="P188">
            <v>1</v>
          </cell>
          <cell r="Q188">
            <v>5</v>
          </cell>
          <cell r="R188">
            <v>-1.0861515807276292</v>
          </cell>
          <cell r="T188">
            <v>-1.5107499503642448</v>
          </cell>
          <cell r="U188">
            <v>0.59384320407576385</v>
          </cell>
        </row>
        <row r="189">
          <cell r="N189">
            <v>56</v>
          </cell>
          <cell r="O189">
            <v>5</v>
          </cell>
          <cell r="P189">
            <v>6</v>
          </cell>
          <cell r="Q189">
            <v>5</v>
          </cell>
          <cell r="R189">
            <v>0.49614331465336126</v>
          </cell>
          <cell r="T189">
            <v>1.1185788718036149</v>
          </cell>
          <cell r="U189">
            <v>0.59384320407576385</v>
          </cell>
        </row>
        <row r="190">
          <cell r="N190">
            <v>57</v>
          </cell>
          <cell r="O190">
            <v>5</v>
          </cell>
          <cell r="P190">
            <v>4</v>
          </cell>
          <cell r="Q190">
            <v>1</v>
          </cell>
          <cell r="R190">
            <v>0.49614331465336126</v>
          </cell>
          <cell r="T190">
            <v>6.6847342936471071E-2</v>
          </cell>
          <cell r="U190">
            <v>-1.6131961055601465</v>
          </cell>
        </row>
        <row r="191">
          <cell r="N191">
            <v>58</v>
          </cell>
          <cell r="O191">
            <v>2</v>
          </cell>
          <cell r="P191">
            <v>2</v>
          </cell>
          <cell r="Q191">
            <v>5</v>
          </cell>
          <cell r="R191">
            <v>-1.0861515807276292</v>
          </cell>
          <cell r="T191">
            <v>-0.98488418593067284</v>
          </cell>
          <cell r="U191">
            <v>0.59384320407576385</v>
          </cell>
        </row>
        <row r="192">
          <cell r="N192">
            <v>59</v>
          </cell>
          <cell r="O192">
            <v>3</v>
          </cell>
          <cell r="P192">
            <v>6</v>
          </cell>
          <cell r="Q192">
            <v>3</v>
          </cell>
          <cell r="R192">
            <v>-0.5587199489339657</v>
          </cell>
          <cell r="T192">
            <v>1.1185788718036149</v>
          </cell>
          <cell r="U192">
            <v>-0.50967645074219126</v>
          </cell>
        </row>
        <row r="193">
          <cell r="N193">
            <v>60</v>
          </cell>
          <cell r="O193">
            <v>1</v>
          </cell>
          <cell r="P193">
            <v>2</v>
          </cell>
          <cell r="Q193">
            <v>5</v>
          </cell>
          <cell r="R193">
            <v>-1.6135832125212926</v>
          </cell>
          <cell r="T193">
            <v>-0.98488418593067284</v>
          </cell>
          <cell r="U193">
            <v>0.59384320407576385</v>
          </cell>
        </row>
        <row r="194">
          <cell r="N194">
            <v>61</v>
          </cell>
          <cell r="O194">
            <v>3</v>
          </cell>
          <cell r="P194">
            <v>5</v>
          </cell>
          <cell r="Q194">
            <v>3</v>
          </cell>
          <cell r="R194">
            <v>-0.5587199489339657</v>
          </cell>
          <cell r="T194">
            <v>0.59271310737004301</v>
          </cell>
          <cell r="U194">
            <v>-0.50967645074219126</v>
          </cell>
        </row>
        <row r="195">
          <cell r="N195">
            <v>62</v>
          </cell>
          <cell r="O195">
            <v>2</v>
          </cell>
          <cell r="P195">
            <v>3</v>
          </cell>
          <cell r="Q195">
            <v>7</v>
          </cell>
          <cell r="R195">
            <v>-1.0861515807276292</v>
          </cell>
          <cell r="T195">
            <v>-0.45901842149710087</v>
          </cell>
          <cell r="U195">
            <v>1.6973628588937191</v>
          </cell>
        </row>
        <row r="196">
          <cell r="N196">
            <v>63</v>
          </cell>
          <cell r="O196">
            <v>1</v>
          </cell>
          <cell r="P196">
            <v>2</v>
          </cell>
          <cell r="Q196">
            <v>6</v>
          </cell>
          <cell r="R196">
            <v>-1.6135832125212926</v>
          </cell>
          <cell r="T196">
            <v>-0.98488418593067284</v>
          </cell>
          <cell r="U196">
            <v>1.1456030314847414</v>
          </cell>
        </row>
        <row r="197">
          <cell r="N197">
            <v>64</v>
          </cell>
          <cell r="O197">
            <v>2</v>
          </cell>
          <cell r="P197">
            <v>1</v>
          </cell>
          <cell r="Q197">
            <v>5</v>
          </cell>
          <cell r="R197">
            <v>-1.0861515807276292</v>
          </cell>
          <cell r="T197">
            <v>-1.5107499503642448</v>
          </cell>
          <cell r="U197">
            <v>0.59384320407576385</v>
          </cell>
        </row>
        <row r="198">
          <cell r="N198">
            <v>65</v>
          </cell>
          <cell r="O198">
            <v>1</v>
          </cell>
          <cell r="P198">
            <v>2</v>
          </cell>
          <cell r="Q198">
            <v>7</v>
          </cell>
          <cell r="R198">
            <v>-1.6135832125212926</v>
          </cell>
          <cell r="T198">
            <v>-0.98488418593067284</v>
          </cell>
          <cell r="U198">
            <v>1.6973628588937191</v>
          </cell>
        </row>
        <row r="199">
          <cell r="N199">
            <v>66</v>
          </cell>
          <cell r="O199">
            <v>6</v>
          </cell>
          <cell r="P199">
            <v>4</v>
          </cell>
          <cell r="Q199">
            <v>1</v>
          </cell>
          <cell r="R199">
            <v>1.0235749464470247</v>
          </cell>
          <cell r="T199">
            <v>6.6847342936471071E-2</v>
          </cell>
          <cell r="U199">
            <v>-1.6131961055601465</v>
          </cell>
        </row>
        <row r="200">
          <cell r="N200">
            <v>67</v>
          </cell>
          <cell r="O200">
            <v>7</v>
          </cell>
          <cell r="P200">
            <v>4</v>
          </cell>
          <cell r="Q200">
            <v>2</v>
          </cell>
          <cell r="R200">
            <v>1.5510065782406881</v>
          </cell>
          <cell r="T200">
            <v>6.6847342936471071E-2</v>
          </cell>
          <cell r="U200">
            <v>-1.0614362781511688</v>
          </cell>
        </row>
        <row r="201">
          <cell r="N201">
            <v>68</v>
          </cell>
          <cell r="O201">
            <v>7</v>
          </cell>
          <cell r="P201">
            <v>4</v>
          </cell>
          <cell r="Q201">
            <v>1</v>
          </cell>
          <cell r="R201">
            <v>1.5510065782406881</v>
          </cell>
          <cell r="T201">
            <v>6.6847342936471071E-2</v>
          </cell>
          <cell r="U201">
            <v>-1.6131961055601465</v>
          </cell>
        </row>
        <row r="202">
          <cell r="N202">
            <v>69</v>
          </cell>
          <cell r="O202">
            <v>3</v>
          </cell>
          <cell r="P202">
            <v>6</v>
          </cell>
          <cell r="Q202">
            <v>3</v>
          </cell>
          <cell r="R202">
            <v>-0.5587199489339657</v>
          </cell>
          <cell r="T202">
            <v>1.1185788718036149</v>
          </cell>
          <cell r="U202">
            <v>-0.50967645074219126</v>
          </cell>
        </row>
        <row r="203">
          <cell r="N203">
            <v>70</v>
          </cell>
          <cell r="O203">
            <v>1</v>
          </cell>
          <cell r="P203">
            <v>1</v>
          </cell>
          <cell r="Q203">
            <v>5</v>
          </cell>
          <cell r="R203">
            <v>-1.6135832125212926</v>
          </cell>
          <cell r="T203">
            <v>-1.5107499503642448</v>
          </cell>
          <cell r="U203">
            <v>0.59384320407576385</v>
          </cell>
        </row>
        <row r="204">
          <cell r="N204">
            <v>71</v>
          </cell>
          <cell r="O204">
            <v>4</v>
          </cell>
          <cell r="P204">
            <v>7</v>
          </cell>
          <cell r="Q204">
            <v>3</v>
          </cell>
          <cell r="R204">
            <v>-3.1288317140302224E-2</v>
          </cell>
          <cell r="T204">
            <v>1.644444636237187</v>
          </cell>
          <cell r="U204">
            <v>-0.50967645074219126</v>
          </cell>
        </row>
        <row r="205">
          <cell r="N205">
            <v>72</v>
          </cell>
          <cell r="O205">
            <v>1</v>
          </cell>
          <cell r="P205">
            <v>3</v>
          </cell>
          <cell r="Q205">
            <v>6</v>
          </cell>
          <cell r="R205">
            <v>-1.6135832125212926</v>
          </cell>
          <cell r="T205">
            <v>-0.45901842149710087</v>
          </cell>
          <cell r="U205">
            <v>1.1456030314847414</v>
          </cell>
        </row>
        <row r="206">
          <cell r="N206">
            <v>73</v>
          </cell>
          <cell r="O206">
            <v>7</v>
          </cell>
          <cell r="P206">
            <v>3</v>
          </cell>
          <cell r="Q206">
            <v>1</v>
          </cell>
          <cell r="R206">
            <v>1.5510065782406881</v>
          </cell>
          <cell r="T206">
            <v>-0.45901842149710087</v>
          </cell>
          <cell r="U206">
            <v>-1.6131961055601465</v>
          </cell>
        </row>
        <row r="207">
          <cell r="N207">
            <v>74</v>
          </cell>
          <cell r="O207">
            <v>5</v>
          </cell>
          <cell r="P207">
            <v>4</v>
          </cell>
          <cell r="Q207">
            <v>2</v>
          </cell>
          <cell r="R207">
            <v>0.49614331465336126</v>
          </cell>
          <cell r="T207">
            <v>6.6847342936471071E-2</v>
          </cell>
          <cell r="U207">
            <v>-1.0614362781511688</v>
          </cell>
        </row>
        <row r="208">
          <cell r="N208">
            <v>75</v>
          </cell>
          <cell r="O208">
            <v>6</v>
          </cell>
          <cell r="P208">
            <v>4</v>
          </cell>
          <cell r="Q208">
            <v>2</v>
          </cell>
          <cell r="R208">
            <v>1.0235749464470247</v>
          </cell>
          <cell r="T208">
            <v>6.6847342936471071E-2</v>
          </cell>
          <cell r="U208">
            <v>-1.0614362781511688</v>
          </cell>
        </row>
        <row r="209">
          <cell r="N209">
            <v>76</v>
          </cell>
          <cell r="O209">
            <v>6</v>
          </cell>
          <cell r="P209">
            <v>3</v>
          </cell>
          <cell r="Q209">
            <v>1</v>
          </cell>
          <cell r="R209">
            <v>1.0235749464470247</v>
          </cell>
          <cell r="T209">
            <v>-0.45901842149710087</v>
          </cell>
          <cell r="U209">
            <v>-1.6131961055601465</v>
          </cell>
        </row>
        <row r="210">
          <cell r="N210">
            <v>77</v>
          </cell>
          <cell r="O210">
            <v>2</v>
          </cell>
          <cell r="P210">
            <v>1</v>
          </cell>
          <cell r="Q210">
            <v>7</v>
          </cell>
          <cell r="R210">
            <v>-1.0861515807276292</v>
          </cell>
          <cell r="T210">
            <v>-1.5107499503642448</v>
          </cell>
          <cell r="U210">
            <v>1.6973628588937191</v>
          </cell>
        </row>
        <row r="211">
          <cell r="N211">
            <v>78</v>
          </cell>
          <cell r="O211">
            <v>5</v>
          </cell>
          <cell r="P211">
            <v>6</v>
          </cell>
          <cell r="Q211">
            <v>4</v>
          </cell>
          <cell r="R211">
            <v>0.49614331465336126</v>
          </cell>
          <cell r="T211">
            <v>1.1185788718036149</v>
          </cell>
          <cell r="U211">
            <v>4.2083376666786312E-2</v>
          </cell>
        </row>
        <row r="212">
          <cell r="N212">
            <v>79</v>
          </cell>
          <cell r="O212">
            <v>3</v>
          </cell>
          <cell r="P212">
            <v>2</v>
          </cell>
          <cell r="Q212">
            <v>6</v>
          </cell>
          <cell r="R212">
            <v>-0.5587199489339657</v>
          </cell>
          <cell r="T212">
            <v>-0.98488418593067284</v>
          </cell>
          <cell r="U212">
            <v>1.1456030314847414</v>
          </cell>
        </row>
        <row r="213">
          <cell r="N213">
            <v>80</v>
          </cell>
          <cell r="O213">
            <v>2</v>
          </cell>
          <cell r="P213">
            <v>1</v>
          </cell>
          <cell r="Q213">
            <v>6</v>
          </cell>
          <cell r="R213">
            <v>-1.0861515807276292</v>
          </cell>
          <cell r="T213">
            <v>-1.5107499503642448</v>
          </cell>
          <cell r="U213">
            <v>1.1456030314847414</v>
          </cell>
        </row>
        <row r="214">
          <cell r="N214">
            <v>81</v>
          </cell>
          <cell r="O214">
            <v>3</v>
          </cell>
          <cell r="P214">
            <v>5</v>
          </cell>
          <cell r="Q214">
            <v>3</v>
          </cell>
          <cell r="R214">
            <v>-0.5587199489339657</v>
          </cell>
          <cell r="T214">
            <v>0.59271310737004301</v>
          </cell>
          <cell r="U214">
            <v>-0.50967645074219126</v>
          </cell>
        </row>
        <row r="215">
          <cell r="N215">
            <v>82</v>
          </cell>
          <cell r="O215">
            <v>7</v>
          </cell>
          <cell r="P215">
            <v>5</v>
          </cell>
          <cell r="Q215">
            <v>3</v>
          </cell>
          <cell r="R215">
            <v>1.5510065782406881</v>
          </cell>
          <cell r="T215">
            <v>0.59271310737004301</v>
          </cell>
          <cell r="U215">
            <v>-0.50967645074219126</v>
          </cell>
        </row>
        <row r="216">
          <cell r="N216">
            <v>83</v>
          </cell>
          <cell r="O216">
            <v>3</v>
          </cell>
          <cell r="P216">
            <v>1</v>
          </cell>
          <cell r="Q216">
            <v>6</v>
          </cell>
          <cell r="R216">
            <v>-0.5587199489339657</v>
          </cell>
          <cell r="T216">
            <v>-1.5107499503642448</v>
          </cell>
          <cell r="U216">
            <v>1.1456030314847414</v>
          </cell>
        </row>
        <row r="217">
          <cell r="N217">
            <v>84</v>
          </cell>
          <cell r="O217">
            <v>7</v>
          </cell>
          <cell r="P217">
            <v>5</v>
          </cell>
          <cell r="Q217">
            <v>3</v>
          </cell>
          <cell r="R217">
            <v>1.5510065782406881</v>
          </cell>
          <cell r="T217">
            <v>0.59271310737004301</v>
          </cell>
          <cell r="U217">
            <v>-0.50967645074219126</v>
          </cell>
        </row>
        <row r="218">
          <cell r="N218">
            <v>85</v>
          </cell>
          <cell r="O218">
            <v>7</v>
          </cell>
          <cell r="P218">
            <v>3</v>
          </cell>
          <cell r="Q218">
            <v>2</v>
          </cell>
          <cell r="R218">
            <v>1.5510065782406881</v>
          </cell>
          <cell r="T218">
            <v>-0.45901842149710087</v>
          </cell>
          <cell r="U218">
            <v>-1.0614362781511688</v>
          </cell>
        </row>
        <row r="219">
          <cell r="N219">
            <v>86</v>
          </cell>
          <cell r="O219">
            <v>3</v>
          </cell>
          <cell r="P219">
            <v>1</v>
          </cell>
          <cell r="Q219">
            <v>5</v>
          </cell>
          <cell r="R219">
            <v>-0.5587199489339657</v>
          </cell>
          <cell r="T219">
            <v>-1.5107499503642448</v>
          </cell>
          <cell r="U219">
            <v>0.59384320407576385</v>
          </cell>
        </row>
        <row r="220">
          <cell r="N220">
            <v>87</v>
          </cell>
          <cell r="O220">
            <v>5</v>
          </cell>
          <cell r="P220">
            <v>5</v>
          </cell>
          <cell r="Q220">
            <v>4</v>
          </cell>
          <cell r="R220">
            <v>0.49614331465336126</v>
          </cell>
          <cell r="T220">
            <v>0.59271310737004301</v>
          </cell>
          <cell r="U220">
            <v>4.2083376666786312E-2</v>
          </cell>
        </row>
        <row r="221">
          <cell r="N221">
            <v>88</v>
          </cell>
          <cell r="O221">
            <v>1</v>
          </cell>
          <cell r="P221">
            <v>1</v>
          </cell>
          <cell r="Q221">
            <v>5</v>
          </cell>
          <cell r="R221">
            <v>-1.6135832125212926</v>
          </cell>
          <cell r="T221">
            <v>-1.5107499503642448</v>
          </cell>
          <cell r="U221">
            <v>0.59384320407576385</v>
          </cell>
        </row>
        <row r="222">
          <cell r="N222">
            <v>89</v>
          </cell>
          <cell r="O222">
            <v>7</v>
          </cell>
          <cell r="P222">
            <v>4</v>
          </cell>
          <cell r="Q222">
            <v>2</v>
          </cell>
          <cell r="R222">
            <v>1.5510065782406881</v>
          </cell>
          <cell r="T222">
            <v>6.6847342936471071E-2</v>
          </cell>
          <cell r="U222">
            <v>-1.0614362781511688</v>
          </cell>
        </row>
        <row r="223">
          <cell r="N223">
            <v>90</v>
          </cell>
          <cell r="O223">
            <v>7</v>
          </cell>
          <cell r="P223">
            <v>3</v>
          </cell>
          <cell r="Q223">
            <v>3</v>
          </cell>
          <cell r="R223">
            <v>1.5510065782406881</v>
          </cell>
          <cell r="T223">
            <v>-0.45901842149710087</v>
          </cell>
          <cell r="U223">
            <v>-0.50967645074219126</v>
          </cell>
        </row>
        <row r="224">
          <cell r="N224">
            <v>91</v>
          </cell>
          <cell r="O224">
            <v>7</v>
          </cell>
          <cell r="P224">
            <v>5</v>
          </cell>
          <cell r="Q224">
            <v>1</v>
          </cell>
          <cell r="R224">
            <v>1.5510065782406881</v>
          </cell>
          <cell r="T224">
            <v>0.59271310737004301</v>
          </cell>
          <cell r="U224">
            <v>-1.6131961055601465</v>
          </cell>
        </row>
        <row r="225">
          <cell r="N225">
            <v>92</v>
          </cell>
          <cell r="O225">
            <v>3</v>
          </cell>
          <cell r="P225">
            <v>6</v>
          </cell>
          <cell r="Q225">
            <v>5</v>
          </cell>
          <cell r="R225">
            <v>-0.5587199489339657</v>
          </cell>
          <cell r="T225">
            <v>1.1185788718036149</v>
          </cell>
          <cell r="U225">
            <v>0.59384320407576385</v>
          </cell>
        </row>
        <row r="226">
          <cell r="N226">
            <v>93</v>
          </cell>
          <cell r="O226">
            <v>3</v>
          </cell>
          <cell r="P226">
            <v>2</v>
          </cell>
          <cell r="Q226">
            <v>5</v>
          </cell>
          <cell r="R226">
            <v>-0.5587199489339657</v>
          </cell>
          <cell r="T226">
            <v>-0.98488418593067284</v>
          </cell>
          <cell r="U226">
            <v>0.59384320407576385</v>
          </cell>
        </row>
        <row r="227">
          <cell r="N227">
            <v>94</v>
          </cell>
          <cell r="O227">
            <v>4</v>
          </cell>
          <cell r="P227">
            <v>7</v>
          </cell>
          <cell r="Q227">
            <v>5</v>
          </cell>
          <cell r="R227">
            <v>-3.1288317140302224E-2</v>
          </cell>
          <cell r="T227">
            <v>1.644444636237187</v>
          </cell>
          <cell r="U227">
            <v>0.59384320407576385</v>
          </cell>
        </row>
        <row r="228">
          <cell r="N228">
            <v>95</v>
          </cell>
          <cell r="O228">
            <v>1</v>
          </cell>
          <cell r="P228">
            <v>1</v>
          </cell>
          <cell r="Q228">
            <v>6</v>
          </cell>
          <cell r="R228">
            <v>-1.6135832125212926</v>
          </cell>
          <cell r="T228">
            <v>-1.5107499503642448</v>
          </cell>
          <cell r="U228">
            <v>1.1456030314847414</v>
          </cell>
        </row>
        <row r="229">
          <cell r="N229">
            <v>96</v>
          </cell>
          <cell r="O229">
            <v>4</v>
          </cell>
          <cell r="P229">
            <v>5</v>
          </cell>
          <cell r="Q229">
            <v>3</v>
          </cell>
          <cell r="R229">
            <v>-3.1288317140302224E-2</v>
          </cell>
          <cell r="T229">
            <v>0.59271310737004301</v>
          </cell>
          <cell r="U229">
            <v>-0.50967645074219126</v>
          </cell>
        </row>
        <row r="230">
          <cell r="N230">
            <v>97</v>
          </cell>
          <cell r="O230">
            <v>7</v>
          </cell>
          <cell r="P230">
            <v>5</v>
          </cell>
          <cell r="Q230">
            <v>1</v>
          </cell>
          <cell r="R230">
            <v>1.5510065782406881</v>
          </cell>
          <cell r="T230">
            <v>0.59271310737004301</v>
          </cell>
          <cell r="U230">
            <v>-1.6131961055601465</v>
          </cell>
        </row>
        <row r="231">
          <cell r="N231">
            <v>98</v>
          </cell>
          <cell r="O231">
            <v>5</v>
          </cell>
          <cell r="P231">
            <v>5</v>
          </cell>
          <cell r="Q231">
            <v>5</v>
          </cell>
          <cell r="R231">
            <v>0.49614331465336126</v>
          </cell>
          <cell r="T231">
            <v>0.59271310737004301</v>
          </cell>
          <cell r="U231">
            <v>0.59384320407576385</v>
          </cell>
        </row>
        <row r="232">
          <cell r="N232">
            <v>99</v>
          </cell>
          <cell r="O232">
            <v>5</v>
          </cell>
          <cell r="P232">
            <v>7</v>
          </cell>
          <cell r="Q232">
            <v>5</v>
          </cell>
          <cell r="R232">
            <v>0.49614331465336126</v>
          </cell>
          <cell r="T232">
            <v>1.644444636237187</v>
          </cell>
          <cell r="U232">
            <v>0.59384320407576385</v>
          </cell>
        </row>
        <row r="233">
          <cell r="N233">
            <v>100</v>
          </cell>
          <cell r="O233">
            <v>6</v>
          </cell>
          <cell r="P233">
            <v>3</v>
          </cell>
          <cell r="Q233">
            <v>1</v>
          </cell>
          <cell r="R233">
            <v>1.0235749464470247</v>
          </cell>
          <cell r="T233">
            <v>-0.45901842149710087</v>
          </cell>
          <cell r="U233">
            <v>-1.6131961055601465</v>
          </cell>
        </row>
        <row r="234">
          <cell r="N234">
            <v>101</v>
          </cell>
          <cell r="O234">
            <v>1</v>
          </cell>
          <cell r="P234">
            <v>3</v>
          </cell>
          <cell r="Q234">
            <v>5</v>
          </cell>
          <cell r="R234">
            <v>-1.6135832125212926</v>
          </cell>
          <cell r="T234">
            <v>-0.45901842149710087</v>
          </cell>
          <cell r="U234">
            <v>0.59384320407576385</v>
          </cell>
        </row>
        <row r="235">
          <cell r="N235">
            <v>102</v>
          </cell>
          <cell r="O235">
            <v>2</v>
          </cell>
          <cell r="P235">
            <v>1</v>
          </cell>
          <cell r="Q235">
            <v>6</v>
          </cell>
          <cell r="R235">
            <v>-1.0861515807276292</v>
          </cell>
          <cell r="T235">
            <v>-1.5107499503642448</v>
          </cell>
          <cell r="U235">
            <v>1.1456030314847414</v>
          </cell>
        </row>
        <row r="236">
          <cell r="N236">
            <v>103</v>
          </cell>
          <cell r="O236">
            <v>1</v>
          </cell>
          <cell r="P236">
            <v>3</v>
          </cell>
          <cell r="Q236">
            <v>5</v>
          </cell>
          <cell r="R236">
            <v>-1.6135832125212926</v>
          </cell>
          <cell r="T236">
            <v>-0.45901842149710087</v>
          </cell>
          <cell r="U236">
            <v>0.59384320407576385</v>
          </cell>
        </row>
        <row r="237">
          <cell r="N237">
            <v>104</v>
          </cell>
          <cell r="O237">
            <v>5</v>
          </cell>
          <cell r="P237">
            <v>4</v>
          </cell>
          <cell r="Q237">
            <v>1</v>
          </cell>
          <cell r="R237">
            <v>0.49614331465336126</v>
          </cell>
          <cell r="T237">
            <v>6.6847342936471071E-2</v>
          </cell>
          <cell r="U237">
            <v>-1.6131961055601465</v>
          </cell>
        </row>
        <row r="238">
          <cell r="N238">
            <v>105</v>
          </cell>
          <cell r="O238">
            <v>6</v>
          </cell>
          <cell r="P238">
            <v>5</v>
          </cell>
          <cell r="Q238">
            <v>3</v>
          </cell>
          <cell r="R238">
            <v>1.0235749464470247</v>
          </cell>
          <cell r="T238">
            <v>0.59271310737004301</v>
          </cell>
          <cell r="U238">
            <v>-0.50967645074219126</v>
          </cell>
        </row>
        <row r="239">
          <cell r="N239">
            <v>106</v>
          </cell>
          <cell r="O239">
            <v>7</v>
          </cell>
          <cell r="P239">
            <v>3</v>
          </cell>
          <cell r="Q239">
            <v>3</v>
          </cell>
          <cell r="R239">
            <v>1.5510065782406881</v>
          </cell>
          <cell r="T239">
            <v>-0.45901842149710087</v>
          </cell>
          <cell r="U239">
            <v>-0.50967645074219126</v>
          </cell>
        </row>
        <row r="240">
          <cell r="N240">
            <v>107</v>
          </cell>
          <cell r="O240">
            <v>1</v>
          </cell>
          <cell r="P240">
            <v>2</v>
          </cell>
          <cell r="Q240">
            <v>6</v>
          </cell>
          <cell r="R240">
            <v>-1.6135832125212926</v>
          </cell>
          <cell r="T240">
            <v>-0.98488418593067284</v>
          </cell>
          <cell r="U240">
            <v>1.1456030314847414</v>
          </cell>
        </row>
        <row r="241">
          <cell r="N241">
            <v>108</v>
          </cell>
          <cell r="O241">
            <v>7</v>
          </cell>
          <cell r="P241">
            <v>4</v>
          </cell>
          <cell r="Q241">
            <v>3</v>
          </cell>
          <cell r="R241">
            <v>1.5510065782406881</v>
          </cell>
          <cell r="T241">
            <v>6.6847342936471071E-2</v>
          </cell>
          <cell r="U241">
            <v>-0.50967645074219126</v>
          </cell>
        </row>
        <row r="242">
          <cell r="N242">
            <v>109</v>
          </cell>
          <cell r="O242">
            <v>3</v>
          </cell>
          <cell r="P242">
            <v>3</v>
          </cell>
          <cell r="Q242">
            <v>6</v>
          </cell>
          <cell r="R242">
            <v>-0.5587199489339657</v>
          </cell>
          <cell r="T242">
            <v>-0.45901842149710087</v>
          </cell>
          <cell r="U242">
            <v>1.1456030314847414</v>
          </cell>
        </row>
        <row r="243">
          <cell r="N243">
            <v>110</v>
          </cell>
          <cell r="O243">
            <v>2</v>
          </cell>
          <cell r="P243">
            <v>2</v>
          </cell>
          <cell r="Q243">
            <v>5</v>
          </cell>
          <cell r="R243">
            <v>-1.0861515807276292</v>
          </cell>
          <cell r="T243">
            <v>-0.98488418593067284</v>
          </cell>
          <cell r="U243">
            <v>0.59384320407576385</v>
          </cell>
        </row>
        <row r="244">
          <cell r="N244">
            <v>111</v>
          </cell>
          <cell r="O244">
            <v>7</v>
          </cell>
          <cell r="P244">
            <v>3</v>
          </cell>
          <cell r="Q244">
            <v>2</v>
          </cell>
          <cell r="R244">
            <v>1.5510065782406881</v>
          </cell>
          <cell r="T244">
            <v>-0.45901842149710087</v>
          </cell>
          <cell r="U244">
            <v>-1.0614362781511688</v>
          </cell>
        </row>
        <row r="245">
          <cell r="N245">
            <v>112</v>
          </cell>
          <cell r="O245">
            <v>5</v>
          </cell>
          <cell r="P245">
            <v>7</v>
          </cell>
          <cell r="Q245">
            <v>3</v>
          </cell>
          <cell r="R245">
            <v>0.49614331465336126</v>
          </cell>
          <cell r="T245">
            <v>1.644444636237187</v>
          </cell>
          <cell r="U245">
            <v>-0.50967645074219126</v>
          </cell>
        </row>
        <row r="246">
          <cell r="N246">
            <v>113</v>
          </cell>
          <cell r="O246">
            <v>5</v>
          </cell>
          <cell r="P246">
            <v>3</v>
          </cell>
          <cell r="Q246">
            <v>2</v>
          </cell>
          <cell r="R246">
            <v>0.49614331465336126</v>
          </cell>
          <cell r="T246">
            <v>-0.45901842149710087</v>
          </cell>
          <cell r="U246">
            <v>-1.0614362781511688</v>
          </cell>
        </row>
        <row r="247">
          <cell r="N247">
            <v>114</v>
          </cell>
          <cell r="O247">
            <v>3</v>
          </cell>
          <cell r="P247">
            <v>7</v>
          </cell>
          <cell r="Q247">
            <v>5</v>
          </cell>
          <cell r="R247">
            <v>-0.5587199489339657</v>
          </cell>
          <cell r="T247">
            <v>1.644444636237187</v>
          </cell>
          <cell r="U247">
            <v>0.59384320407576385</v>
          </cell>
        </row>
        <row r="248">
          <cell r="N248">
            <v>115</v>
          </cell>
          <cell r="O248">
            <v>5</v>
          </cell>
          <cell r="P248">
            <v>5</v>
          </cell>
          <cell r="Q248">
            <v>1</v>
          </cell>
          <cell r="R248">
            <v>0.49614331465336126</v>
          </cell>
          <cell r="T248">
            <v>0.59271310737004301</v>
          </cell>
          <cell r="U248">
            <v>-1.6131961055601465</v>
          </cell>
        </row>
        <row r="249">
          <cell r="N249">
            <v>116</v>
          </cell>
          <cell r="O249">
            <v>1</v>
          </cell>
          <cell r="P249">
            <v>3</v>
          </cell>
          <cell r="Q249">
            <v>6</v>
          </cell>
          <cell r="R249">
            <v>-1.6135832125212926</v>
          </cell>
          <cell r="T249">
            <v>-0.45901842149710087</v>
          </cell>
          <cell r="U249">
            <v>1.1456030314847414</v>
          </cell>
        </row>
        <row r="250">
          <cell r="N250">
            <v>117</v>
          </cell>
          <cell r="O250">
            <v>6</v>
          </cell>
          <cell r="P250">
            <v>4</v>
          </cell>
          <cell r="Q250">
            <v>2</v>
          </cell>
          <cell r="R250">
            <v>1.0235749464470247</v>
          </cell>
          <cell r="T250">
            <v>6.6847342936471071E-2</v>
          </cell>
          <cell r="U250">
            <v>-1.0614362781511688</v>
          </cell>
        </row>
        <row r="251">
          <cell r="N251">
            <v>118</v>
          </cell>
          <cell r="O251">
            <v>5</v>
          </cell>
          <cell r="P251">
            <v>3</v>
          </cell>
          <cell r="Q251">
            <v>2</v>
          </cell>
          <cell r="R251">
            <v>0.49614331465336126</v>
          </cell>
          <cell r="T251">
            <v>-0.45901842149710087</v>
          </cell>
          <cell r="U251">
            <v>-1.0614362781511688</v>
          </cell>
        </row>
        <row r="268">
          <cell r="A268" t="str">
            <v>Customer</v>
          </cell>
          <cell r="B268" t="str">
            <v>Soap Ingredience</v>
          </cell>
          <cell r="C268" t="str">
            <v>Soap Fragrance</v>
          </cell>
          <cell r="D268" t="str">
            <v>Color Options</v>
          </cell>
          <cell r="E268" t="str">
            <v>z Ingredients</v>
          </cell>
          <cell r="F268" t="str">
            <v>z Fragrance</v>
          </cell>
          <cell r="G268" t="str">
            <v>z Color</v>
          </cell>
        </row>
        <row r="269">
          <cell r="A269">
            <v>1</v>
          </cell>
          <cell r="B269">
            <v>5</v>
          </cell>
          <cell r="C269">
            <v>5</v>
          </cell>
          <cell r="D269">
            <v>2</v>
          </cell>
          <cell r="E269">
            <v>0.49614331465336126</v>
          </cell>
          <cell r="F269">
            <v>0.59271310737004301</v>
          </cell>
          <cell r="G269">
            <v>-1.0614362781511688</v>
          </cell>
        </row>
        <row r="270">
          <cell r="A270">
            <v>2</v>
          </cell>
          <cell r="B270">
            <v>7</v>
          </cell>
          <cell r="C270">
            <v>5</v>
          </cell>
          <cell r="D270">
            <v>1</v>
          </cell>
          <cell r="E270">
            <v>1.5510065782406881</v>
          </cell>
          <cell r="F270">
            <v>0.59271310737004301</v>
          </cell>
          <cell r="G270">
            <v>-1.6131961055601465</v>
          </cell>
        </row>
        <row r="271">
          <cell r="A271">
            <v>3</v>
          </cell>
          <cell r="B271">
            <v>3</v>
          </cell>
          <cell r="C271">
            <v>5</v>
          </cell>
          <cell r="D271">
            <v>4</v>
          </cell>
          <cell r="E271">
            <v>-0.5587199489339657</v>
          </cell>
          <cell r="F271">
            <v>0.59271310737004301</v>
          </cell>
          <cell r="G271">
            <v>4.2083376666786312E-2</v>
          </cell>
        </row>
        <row r="272">
          <cell r="A272">
            <v>4</v>
          </cell>
          <cell r="B272">
            <v>4</v>
          </cell>
          <cell r="C272">
            <v>5</v>
          </cell>
          <cell r="D272">
            <v>4</v>
          </cell>
          <cell r="E272">
            <v>-3.1288317140302224E-2</v>
          </cell>
          <cell r="F272">
            <v>0.59271310737004301</v>
          </cell>
          <cell r="G272">
            <v>4.2083376666786312E-2</v>
          </cell>
        </row>
        <row r="273">
          <cell r="A273">
            <v>5</v>
          </cell>
          <cell r="B273">
            <v>6</v>
          </cell>
          <cell r="C273">
            <v>5</v>
          </cell>
          <cell r="D273">
            <v>2</v>
          </cell>
          <cell r="E273">
            <v>1.0235749464470247</v>
          </cell>
          <cell r="F273">
            <v>0.59271310737004301</v>
          </cell>
          <cell r="G273">
            <v>-1.0614362781511688</v>
          </cell>
        </row>
        <row r="274">
          <cell r="A274">
            <v>6</v>
          </cell>
          <cell r="B274">
            <v>5</v>
          </cell>
          <cell r="C274">
            <v>6</v>
          </cell>
          <cell r="D274">
            <v>5</v>
          </cell>
          <cell r="E274">
            <v>0.49614331465336126</v>
          </cell>
          <cell r="F274">
            <v>1.1185788718036149</v>
          </cell>
          <cell r="G274">
            <v>0.59384320407576385</v>
          </cell>
        </row>
        <row r="275">
          <cell r="A275">
            <v>7</v>
          </cell>
          <cell r="B275">
            <v>3</v>
          </cell>
          <cell r="C275">
            <v>1</v>
          </cell>
          <cell r="D275">
            <v>7</v>
          </cell>
          <cell r="E275">
            <v>-0.5587199489339657</v>
          </cell>
          <cell r="F275">
            <v>-1.5107499503642448</v>
          </cell>
          <cell r="G275">
            <v>1.6973628588937191</v>
          </cell>
        </row>
        <row r="276">
          <cell r="A276">
            <v>8</v>
          </cell>
          <cell r="B276">
            <v>6</v>
          </cell>
          <cell r="C276">
            <v>3</v>
          </cell>
          <cell r="D276">
            <v>2</v>
          </cell>
          <cell r="E276">
            <v>1.0235749464470247</v>
          </cell>
          <cell r="F276">
            <v>-0.45901842149710087</v>
          </cell>
          <cell r="G276">
            <v>-1.0614362781511688</v>
          </cell>
        </row>
        <row r="277">
          <cell r="A277">
            <v>9</v>
          </cell>
          <cell r="B277">
            <v>7</v>
          </cell>
          <cell r="C277">
            <v>5</v>
          </cell>
          <cell r="D277">
            <v>3</v>
          </cell>
          <cell r="E277">
            <v>1.5510065782406881</v>
          </cell>
          <cell r="F277">
            <v>0.59271310737004301</v>
          </cell>
          <cell r="G277">
            <v>-0.50967645074219126</v>
          </cell>
        </row>
        <row r="278">
          <cell r="A278">
            <v>10</v>
          </cell>
          <cell r="B278">
            <v>5</v>
          </cell>
          <cell r="C278">
            <v>3</v>
          </cell>
          <cell r="D278">
            <v>2</v>
          </cell>
          <cell r="E278">
            <v>0.49614331465336126</v>
          </cell>
          <cell r="F278">
            <v>-0.45901842149710087</v>
          </cell>
          <cell r="G278">
            <v>-1.0614362781511688</v>
          </cell>
        </row>
        <row r="279">
          <cell r="A279">
            <v>11</v>
          </cell>
          <cell r="B279">
            <v>5</v>
          </cell>
          <cell r="C279">
            <v>6</v>
          </cell>
          <cell r="D279">
            <v>4</v>
          </cell>
          <cell r="E279">
            <v>0.49614331465336126</v>
          </cell>
          <cell r="F279">
            <v>1.1185788718036149</v>
          </cell>
          <cell r="G279">
            <v>4.2083376666786312E-2</v>
          </cell>
        </row>
        <row r="280">
          <cell r="A280">
            <v>12</v>
          </cell>
          <cell r="B280">
            <v>3</v>
          </cell>
          <cell r="C280">
            <v>7</v>
          </cell>
          <cell r="D280">
            <v>5</v>
          </cell>
          <cell r="E280">
            <v>-0.5587199489339657</v>
          </cell>
          <cell r="F280">
            <v>1.644444636237187</v>
          </cell>
          <cell r="G280">
            <v>0.59384320407576385</v>
          </cell>
        </row>
        <row r="281">
          <cell r="A281">
            <v>13</v>
          </cell>
          <cell r="B281">
            <v>2</v>
          </cell>
          <cell r="C281">
            <v>3</v>
          </cell>
          <cell r="D281">
            <v>7</v>
          </cell>
          <cell r="E281">
            <v>-1.0861515807276292</v>
          </cell>
          <cell r="F281">
            <v>-0.45901842149710087</v>
          </cell>
          <cell r="G281">
            <v>1.6973628588937191</v>
          </cell>
        </row>
        <row r="282">
          <cell r="A282">
            <v>14</v>
          </cell>
          <cell r="B282">
            <v>3</v>
          </cell>
          <cell r="C282">
            <v>7</v>
          </cell>
          <cell r="D282">
            <v>5</v>
          </cell>
          <cell r="E282">
            <v>-0.5587199489339657</v>
          </cell>
          <cell r="F282">
            <v>1.644444636237187</v>
          </cell>
          <cell r="G282">
            <v>0.59384320407576385</v>
          </cell>
        </row>
        <row r="283">
          <cell r="A283">
            <v>15</v>
          </cell>
          <cell r="B283">
            <v>5</v>
          </cell>
          <cell r="C283">
            <v>6</v>
          </cell>
          <cell r="D283">
            <v>5</v>
          </cell>
          <cell r="E283">
            <v>0.49614331465336126</v>
          </cell>
          <cell r="F283">
            <v>1.1185788718036149</v>
          </cell>
          <cell r="G283">
            <v>0.59384320407576385</v>
          </cell>
        </row>
        <row r="284">
          <cell r="A284">
            <v>16</v>
          </cell>
          <cell r="B284">
            <v>5</v>
          </cell>
          <cell r="C284">
            <v>5</v>
          </cell>
          <cell r="D284">
            <v>1</v>
          </cell>
          <cell r="E284">
            <v>0.49614331465336126</v>
          </cell>
          <cell r="F284">
            <v>0.59271310737004301</v>
          </cell>
          <cell r="G284">
            <v>-1.6131961055601465</v>
          </cell>
        </row>
        <row r="285">
          <cell r="A285">
            <v>17</v>
          </cell>
          <cell r="B285">
            <v>4</v>
          </cell>
          <cell r="C285">
            <v>7</v>
          </cell>
          <cell r="D285">
            <v>5</v>
          </cell>
          <cell r="E285">
            <v>-3.1288317140302224E-2</v>
          </cell>
          <cell r="F285">
            <v>1.644444636237187</v>
          </cell>
          <cell r="G285">
            <v>0.59384320407576385</v>
          </cell>
        </row>
        <row r="286">
          <cell r="A286">
            <v>18</v>
          </cell>
          <cell r="B286">
            <v>4</v>
          </cell>
          <cell r="C286">
            <v>6</v>
          </cell>
          <cell r="D286">
            <v>5</v>
          </cell>
          <cell r="E286">
            <v>-3.1288317140302224E-2</v>
          </cell>
          <cell r="F286">
            <v>1.1185788718036149</v>
          </cell>
          <cell r="G286">
            <v>0.59384320407576385</v>
          </cell>
        </row>
        <row r="287">
          <cell r="A287">
            <v>19</v>
          </cell>
          <cell r="B287">
            <v>3</v>
          </cell>
          <cell r="C287">
            <v>5</v>
          </cell>
          <cell r="D287">
            <v>3</v>
          </cell>
          <cell r="E287">
            <v>-0.5587199489339657</v>
          </cell>
          <cell r="F287">
            <v>0.59271310737004301</v>
          </cell>
          <cell r="G287">
            <v>-0.50967645074219126</v>
          </cell>
        </row>
        <row r="288">
          <cell r="A288">
            <v>20</v>
          </cell>
          <cell r="B288">
            <v>1</v>
          </cell>
          <cell r="C288">
            <v>1</v>
          </cell>
          <cell r="D288">
            <v>7</v>
          </cell>
          <cell r="E288">
            <v>-1.6135832125212926</v>
          </cell>
          <cell r="F288">
            <v>-1.5107499503642448</v>
          </cell>
          <cell r="G288">
            <v>1.6973628588937191</v>
          </cell>
        </row>
        <row r="289">
          <cell r="A289">
            <v>21</v>
          </cell>
          <cell r="B289">
            <v>3</v>
          </cell>
          <cell r="C289">
            <v>1</v>
          </cell>
          <cell r="D289">
            <v>5</v>
          </cell>
          <cell r="E289">
            <v>-0.5587199489339657</v>
          </cell>
          <cell r="F289">
            <v>-1.5107499503642448</v>
          </cell>
          <cell r="G289">
            <v>0.59384320407576385</v>
          </cell>
        </row>
        <row r="290">
          <cell r="A290">
            <v>22</v>
          </cell>
          <cell r="B290">
            <v>4</v>
          </cell>
          <cell r="C290">
            <v>7</v>
          </cell>
          <cell r="D290">
            <v>3</v>
          </cell>
          <cell r="E290">
            <v>-3.1288317140302224E-2</v>
          </cell>
          <cell r="F290">
            <v>1.644444636237187</v>
          </cell>
          <cell r="G290">
            <v>-0.50967645074219126</v>
          </cell>
        </row>
        <row r="291">
          <cell r="A291">
            <v>23</v>
          </cell>
          <cell r="B291">
            <v>5</v>
          </cell>
          <cell r="C291">
            <v>5</v>
          </cell>
          <cell r="D291">
            <v>4</v>
          </cell>
          <cell r="E291">
            <v>0.49614331465336126</v>
          </cell>
          <cell r="F291">
            <v>0.59271310737004301</v>
          </cell>
          <cell r="G291">
            <v>4.2083376666786312E-2</v>
          </cell>
        </row>
        <row r="292">
          <cell r="A292">
            <v>24</v>
          </cell>
          <cell r="B292">
            <v>6</v>
          </cell>
          <cell r="C292">
            <v>3</v>
          </cell>
          <cell r="D292">
            <v>3</v>
          </cell>
          <cell r="E292">
            <v>1.0235749464470247</v>
          </cell>
          <cell r="F292">
            <v>-0.45901842149710087</v>
          </cell>
          <cell r="G292">
            <v>-0.50967645074219126</v>
          </cell>
        </row>
        <row r="293">
          <cell r="A293">
            <v>25</v>
          </cell>
          <cell r="B293">
            <v>3</v>
          </cell>
          <cell r="C293">
            <v>2</v>
          </cell>
          <cell r="D293">
            <v>5</v>
          </cell>
          <cell r="E293">
            <v>-0.5587199489339657</v>
          </cell>
          <cell r="F293">
            <v>-0.98488418593067284</v>
          </cell>
          <cell r="G293">
            <v>0.59384320407576385</v>
          </cell>
        </row>
        <row r="294">
          <cell r="A294">
            <v>26</v>
          </cell>
          <cell r="B294">
            <v>3</v>
          </cell>
          <cell r="C294">
            <v>2</v>
          </cell>
          <cell r="D294">
            <v>5</v>
          </cell>
          <cell r="E294">
            <v>-0.5587199489339657</v>
          </cell>
          <cell r="F294">
            <v>-0.98488418593067284</v>
          </cell>
          <cell r="G294">
            <v>0.59384320407576385</v>
          </cell>
        </row>
        <row r="295">
          <cell r="A295">
            <v>27</v>
          </cell>
          <cell r="B295">
            <v>2</v>
          </cell>
          <cell r="C295">
            <v>2</v>
          </cell>
          <cell r="D295">
            <v>7</v>
          </cell>
          <cell r="E295">
            <v>-1.0861515807276292</v>
          </cell>
          <cell r="F295">
            <v>-0.98488418593067284</v>
          </cell>
          <cell r="G295">
            <v>1.6973628588937191</v>
          </cell>
        </row>
        <row r="296">
          <cell r="A296">
            <v>28</v>
          </cell>
          <cell r="B296">
            <v>5</v>
          </cell>
          <cell r="C296">
            <v>5</v>
          </cell>
          <cell r="D296">
            <v>3</v>
          </cell>
          <cell r="E296">
            <v>0.49614331465336126</v>
          </cell>
          <cell r="F296">
            <v>0.59271310737004301</v>
          </cell>
          <cell r="G296">
            <v>-0.50967645074219126</v>
          </cell>
        </row>
        <row r="297">
          <cell r="A297">
            <v>29</v>
          </cell>
          <cell r="B297">
            <v>3</v>
          </cell>
          <cell r="C297">
            <v>2</v>
          </cell>
          <cell r="D297">
            <v>7</v>
          </cell>
          <cell r="E297">
            <v>-0.5587199489339657</v>
          </cell>
          <cell r="F297">
            <v>-0.98488418593067284</v>
          </cell>
          <cell r="G297">
            <v>1.6973628588937191</v>
          </cell>
        </row>
        <row r="298">
          <cell r="A298">
            <v>30</v>
          </cell>
          <cell r="B298">
            <v>2</v>
          </cell>
          <cell r="C298">
            <v>1</v>
          </cell>
          <cell r="D298">
            <v>5</v>
          </cell>
          <cell r="E298">
            <v>-1.0861515807276292</v>
          </cell>
          <cell r="F298">
            <v>-1.5107499503642448</v>
          </cell>
          <cell r="G298">
            <v>0.59384320407576385</v>
          </cell>
        </row>
        <row r="299">
          <cell r="A299">
            <v>31</v>
          </cell>
          <cell r="B299">
            <v>5</v>
          </cell>
          <cell r="C299">
            <v>5</v>
          </cell>
          <cell r="D299">
            <v>4</v>
          </cell>
          <cell r="E299">
            <v>0.49614331465336126</v>
          </cell>
          <cell r="F299">
            <v>0.59271310737004301</v>
          </cell>
          <cell r="G299">
            <v>4.2083376666786312E-2</v>
          </cell>
        </row>
        <row r="300">
          <cell r="A300">
            <v>32</v>
          </cell>
          <cell r="B300">
            <v>6</v>
          </cell>
          <cell r="C300">
            <v>3</v>
          </cell>
          <cell r="D300">
            <v>2</v>
          </cell>
          <cell r="E300">
            <v>1.0235749464470247</v>
          </cell>
          <cell r="F300">
            <v>-0.45901842149710087</v>
          </cell>
          <cell r="G300">
            <v>-1.0614362781511688</v>
          </cell>
        </row>
        <row r="301">
          <cell r="A301">
            <v>33</v>
          </cell>
          <cell r="B301">
            <v>5</v>
          </cell>
          <cell r="C301">
            <v>7</v>
          </cell>
          <cell r="D301">
            <v>5</v>
          </cell>
          <cell r="E301">
            <v>0.49614331465336126</v>
          </cell>
          <cell r="F301">
            <v>1.644444636237187</v>
          </cell>
          <cell r="G301">
            <v>0.59384320407576385</v>
          </cell>
        </row>
        <row r="302">
          <cell r="A302">
            <v>34</v>
          </cell>
          <cell r="B302">
            <v>5</v>
          </cell>
          <cell r="C302">
            <v>4</v>
          </cell>
          <cell r="D302">
            <v>1</v>
          </cell>
          <cell r="E302">
            <v>0.49614331465336126</v>
          </cell>
          <cell r="F302">
            <v>6.6847342936471071E-2</v>
          </cell>
          <cell r="G302">
            <v>-1.6131961055601465</v>
          </cell>
        </row>
        <row r="303">
          <cell r="A303">
            <v>35</v>
          </cell>
          <cell r="B303">
            <v>2</v>
          </cell>
          <cell r="C303">
            <v>2</v>
          </cell>
          <cell r="D303">
            <v>7</v>
          </cell>
          <cell r="E303">
            <v>-1.0861515807276292</v>
          </cell>
          <cell r="F303">
            <v>-0.98488418593067284</v>
          </cell>
          <cell r="G303">
            <v>1.6973628588937191</v>
          </cell>
        </row>
        <row r="304">
          <cell r="A304">
            <v>36</v>
          </cell>
          <cell r="B304">
            <v>1</v>
          </cell>
          <cell r="C304">
            <v>1</v>
          </cell>
          <cell r="D304">
            <v>6</v>
          </cell>
          <cell r="E304">
            <v>-1.6135832125212926</v>
          </cell>
          <cell r="F304">
            <v>-1.5107499503642448</v>
          </cell>
          <cell r="G304">
            <v>1.1456030314847414</v>
          </cell>
        </row>
        <row r="305">
          <cell r="A305">
            <v>37</v>
          </cell>
          <cell r="B305">
            <v>3</v>
          </cell>
          <cell r="C305">
            <v>1</v>
          </cell>
          <cell r="D305">
            <v>5</v>
          </cell>
          <cell r="E305">
            <v>-0.5587199489339657</v>
          </cell>
          <cell r="F305">
            <v>-1.5107499503642448</v>
          </cell>
          <cell r="G305">
            <v>0.59384320407576385</v>
          </cell>
        </row>
        <row r="306">
          <cell r="A306">
            <v>38</v>
          </cell>
          <cell r="B306">
            <v>3</v>
          </cell>
          <cell r="C306">
            <v>6</v>
          </cell>
          <cell r="D306">
            <v>3</v>
          </cell>
          <cell r="E306">
            <v>-0.5587199489339657</v>
          </cell>
          <cell r="F306">
            <v>1.1185788718036149</v>
          </cell>
          <cell r="G306">
            <v>-0.50967645074219126</v>
          </cell>
        </row>
        <row r="307">
          <cell r="A307">
            <v>39</v>
          </cell>
          <cell r="B307">
            <v>5</v>
          </cell>
          <cell r="C307">
            <v>7</v>
          </cell>
          <cell r="D307">
            <v>5</v>
          </cell>
          <cell r="E307">
            <v>0.49614331465336126</v>
          </cell>
          <cell r="F307">
            <v>1.644444636237187</v>
          </cell>
          <cell r="G307">
            <v>0.59384320407576385</v>
          </cell>
        </row>
        <row r="308">
          <cell r="A308">
            <v>40</v>
          </cell>
          <cell r="B308">
            <v>3</v>
          </cell>
          <cell r="C308">
            <v>2</v>
          </cell>
          <cell r="D308">
            <v>6</v>
          </cell>
          <cell r="E308">
            <v>-0.5587199489339657</v>
          </cell>
          <cell r="F308">
            <v>-0.98488418593067284</v>
          </cell>
          <cell r="G308">
            <v>1.1456030314847414</v>
          </cell>
        </row>
        <row r="309">
          <cell r="A309">
            <v>41</v>
          </cell>
          <cell r="B309">
            <v>5</v>
          </cell>
          <cell r="C309">
            <v>3</v>
          </cell>
          <cell r="D309">
            <v>3</v>
          </cell>
          <cell r="E309">
            <v>0.49614331465336126</v>
          </cell>
          <cell r="F309">
            <v>-0.45901842149710087</v>
          </cell>
          <cell r="G309">
            <v>-0.50967645074219126</v>
          </cell>
        </row>
        <row r="310">
          <cell r="A310">
            <v>42</v>
          </cell>
          <cell r="B310">
            <v>3</v>
          </cell>
          <cell r="C310">
            <v>6</v>
          </cell>
          <cell r="D310">
            <v>3</v>
          </cell>
          <cell r="E310">
            <v>-0.5587199489339657</v>
          </cell>
          <cell r="F310">
            <v>1.1185788718036149</v>
          </cell>
          <cell r="G310">
            <v>-0.50967645074219126</v>
          </cell>
        </row>
        <row r="311">
          <cell r="A311">
            <v>43</v>
          </cell>
          <cell r="B311">
            <v>4</v>
          </cell>
          <cell r="C311">
            <v>6</v>
          </cell>
          <cell r="D311">
            <v>5</v>
          </cell>
          <cell r="E311">
            <v>-3.1288317140302224E-2</v>
          </cell>
          <cell r="F311">
            <v>1.1185788718036149</v>
          </cell>
          <cell r="G311">
            <v>0.59384320407576385</v>
          </cell>
        </row>
        <row r="312">
          <cell r="A312">
            <v>44</v>
          </cell>
          <cell r="B312">
            <v>7</v>
          </cell>
          <cell r="C312">
            <v>4</v>
          </cell>
          <cell r="D312">
            <v>2</v>
          </cell>
          <cell r="E312">
            <v>1.5510065782406881</v>
          </cell>
          <cell r="F312">
            <v>6.6847342936471071E-2</v>
          </cell>
          <cell r="G312">
            <v>-1.0614362781511688</v>
          </cell>
        </row>
        <row r="313">
          <cell r="A313">
            <v>45</v>
          </cell>
          <cell r="B313">
            <v>4</v>
          </cell>
          <cell r="C313">
            <v>6</v>
          </cell>
          <cell r="D313">
            <v>3</v>
          </cell>
          <cell r="E313">
            <v>-3.1288317140302224E-2</v>
          </cell>
          <cell r="F313">
            <v>1.1185788718036149</v>
          </cell>
          <cell r="G313">
            <v>-0.50967645074219126</v>
          </cell>
        </row>
        <row r="314">
          <cell r="A314">
            <v>46</v>
          </cell>
          <cell r="B314">
            <v>4</v>
          </cell>
          <cell r="C314">
            <v>7</v>
          </cell>
          <cell r="D314">
            <v>4</v>
          </cell>
          <cell r="E314">
            <v>-3.1288317140302224E-2</v>
          </cell>
          <cell r="F314">
            <v>1.644444636237187</v>
          </cell>
          <cell r="G314">
            <v>4.2083376666786312E-2</v>
          </cell>
        </row>
        <row r="315">
          <cell r="A315">
            <v>47</v>
          </cell>
          <cell r="B315">
            <v>2</v>
          </cell>
          <cell r="C315">
            <v>3</v>
          </cell>
          <cell r="D315">
            <v>5</v>
          </cell>
          <cell r="E315">
            <v>-1.0861515807276292</v>
          </cell>
          <cell r="F315">
            <v>-0.45901842149710087</v>
          </cell>
          <cell r="G315">
            <v>0.59384320407576385</v>
          </cell>
        </row>
        <row r="316">
          <cell r="A316">
            <v>48</v>
          </cell>
          <cell r="B316">
            <v>7</v>
          </cell>
          <cell r="C316">
            <v>3</v>
          </cell>
          <cell r="D316">
            <v>1</v>
          </cell>
          <cell r="E316">
            <v>1.5510065782406881</v>
          </cell>
          <cell r="F316">
            <v>-0.45901842149710087</v>
          </cell>
          <cell r="G316">
            <v>-1.6131961055601465</v>
          </cell>
        </row>
        <row r="317">
          <cell r="A317">
            <v>49</v>
          </cell>
          <cell r="B317">
            <v>2</v>
          </cell>
          <cell r="C317">
            <v>2</v>
          </cell>
          <cell r="D317">
            <v>5</v>
          </cell>
          <cell r="E317">
            <v>-1.0861515807276292</v>
          </cell>
          <cell r="F317">
            <v>-0.98488418593067284</v>
          </cell>
          <cell r="G317">
            <v>0.59384320407576385</v>
          </cell>
        </row>
        <row r="318">
          <cell r="A318">
            <v>50</v>
          </cell>
          <cell r="B318">
            <v>5</v>
          </cell>
          <cell r="C318">
            <v>3</v>
          </cell>
          <cell r="D318">
            <v>3</v>
          </cell>
          <cell r="E318">
            <v>0.49614331465336126</v>
          </cell>
          <cell r="F318">
            <v>-0.45901842149710087</v>
          </cell>
          <cell r="G318">
            <v>-0.50967645074219126</v>
          </cell>
        </row>
        <row r="319">
          <cell r="A319">
            <v>51</v>
          </cell>
          <cell r="B319">
            <v>3</v>
          </cell>
          <cell r="C319">
            <v>3</v>
          </cell>
          <cell r="D319">
            <v>7</v>
          </cell>
          <cell r="E319">
            <v>-0.5587199489339657</v>
          </cell>
          <cell r="F319">
            <v>-0.45901842149710087</v>
          </cell>
          <cell r="G319">
            <v>1.6973628588937191</v>
          </cell>
        </row>
        <row r="320">
          <cell r="A320">
            <v>52</v>
          </cell>
          <cell r="B320">
            <v>4</v>
          </cell>
          <cell r="C320">
            <v>6</v>
          </cell>
          <cell r="D320">
            <v>5</v>
          </cell>
          <cell r="E320">
            <v>-3.1288317140302224E-2</v>
          </cell>
          <cell r="F320">
            <v>1.1185788718036149</v>
          </cell>
          <cell r="G320">
            <v>0.59384320407576385</v>
          </cell>
        </row>
        <row r="321">
          <cell r="A321">
            <v>53</v>
          </cell>
          <cell r="B321">
            <v>6</v>
          </cell>
          <cell r="C321">
            <v>3</v>
          </cell>
          <cell r="D321">
            <v>2</v>
          </cell>
          <cell r="E321">
            <v>1.0235749464470247</v>
          </cell>
          <cell r="F321">
            <v>-0.45901842149710087</v>
          </cell>
          <cell r="G321">
            <v>-1.0614362781511688</v>
          </cell>
        </row>
        <row r="322">
          <cell r="A322">
            <v>54</v>
          </cell>
          <cell r="B322">
            <v>4</v>
          </cell>
          <cell r="C322">
            <v>7</v>
          </cell>
          <cell r="D322">
            <v>4</v>
          </cell>
          <cell r="E322">
            <v>-3.1288317140302224E-2</v>
          </cell>
          <cell r="F322">
            <v>1.644444636237187</v>
          </cell>
          <cell r="G322">
            <v>4.2083376666786312E-2</v>
          </cell>
        </row>
        <row r="323">
          <cell r="A323">
            <v>55</v>
          </cell>
          <cell r="B323">
            <v>2</v>
          </cell>
          <cell r="C323">
            <v>1</v>
          </cell>
          <cell r="D323">
            <v>5</v>
          </cell>
          <cell r="E323">
            <v>-1.0861515807276292</v>
          </cell>
          <cell r="F323">
            <v>-1.5107499503642448</v>
          </cell>
          <cell r="G323">
            <v>0.59384320407576385</v>
          </cell>
        </row>
        <row r="324">
          <cell r="A324">
            <v>56</v>
          </cell>
          <cell r="B324">
            <v>5</v>
          </cell>
          <cell r="C324">
            <v>6</v>
          </cell>
          <cell r="D324">
            <v>5</v>
          </cell>
          <cell r="E324">
            <v>0.49614331465336126</v>
          </cell>
          <cell r="F324">
            <v>1.1185788718036149</v>
          </cell>
          <cell r="G324">
            <v>0.59384320407576385</v>
          </cell>
        </row>
        <row r="325">
          <cell r="A325">
            <v>57</v>
          </cell>
          <cell r="B325">
            <v>5</v>
          </cell>
          <cell r="C325">
            <v>4</v>
          </cell>
          <cell r="D325">
            <v>1</v>
          </cell>
          <cell r="E325">
            <v>0.49614331465336126</v>
          </cell>
          <cell r="F325">
            <v>6.6847342936471071E-2</v>
          </cell>
          <cell r="G325">
            <v>-1.6131961055601465</v>
          </cell>
        </row>
        <row r="326">
          <cell r="A326">
            <v>58</v>
          </cell>
          <cell r="B326">
            <v>2</v>
          </cell>
          <cell r="C326">
            <v>2</v>
          </cell>
          <cell r="D326">
            <v>5</v>
          </cell>
          <cell r="E326">
            <v>-1.0861515807276292</v>
          </cell>
          <cell r="F326">
            <v>-0.98488418593067284</v>
          </cell>
          <cell r="G326">
            <v>0.59384320407576385</v>
          </cell>
        </row>
        <row r="327">
          <cell r="A327">
            <v>59</v>
          </cell>
          <cell r="B327">
            <v>3</v>
          </cell>
          <cell r="C327">
            <v>6</v>
          </cell>
          <cell r="D327">
            <v>3</v>
          </cell>
          <cell r="E327">
            <v>-0.5587199489339657</v>
          </cell>
          <cell r="F327">
            <v>1.1185788718036149</v>
          </cell>
          <cell r="G327">
            <v>-0.50967645074219126</v>
          </cell>
        </row>
        <row r="328">
          <cell r="A328">
            <v>60</v>
          </cell>
          <cell r="B328">
            <v>1</v>
          </cell>
          <cell r="C328">
            <v>2</v>
          </cell>
          <cell r="D328">
            <v>5</v>
          </cell>
          <cell r="E328">
            <v>-1.6135832125212926</v>
          </cell>
          <cell r="F328">
            <v>-0.98488418593067284</v>
          </cell>
          <cell r="G328">
            <v>0.59384320407576385</v>
          </cell>
        </row>
        <row r="329">
          <cell r="A329">
            <v>61</v>
          </cell>
          <cell r="B329">
            <v>3</v>
          </cell>
          <cell r="C329">
            <v>5</v>
          </cell>
          <cell r="D329">
            <v>3</v>
          </cell>
          <cell r="E329">
            <v>-0.5587199489339657</v>
          </cell>
          <cell r="F329">
            <v>0.59271310737004301</v>
          </cell>
          <cell r="G329">
            <v>-0.50967645074219126</v>
          </cell>
        </row>
        <row r="330">
          <cell r="A330">
            <v>62</v>
          </cell>
          <cell r="B330">
            <v>2</v>
          </cell>
          <cell r="C330">
            <v>3</v>
          </cell>
          <cell r="D330">
            <v>7</v>
          </cell>
          <cell r="E330">
            <v>-1.0861515807276292</v>
          </cell>
          <cell r="F330">
            <v>-0.45901842149710087</v>
          </cell>
          <cell r="G330">
            <v>1.6973628588937191</v>
          </cell>
        </row>
        <row r="331">
          <cell r="A331">
            <v>63</v>
          </cell>
          <cell r="B331">
            <v>1</v>
          </cell>
          <cell r="C331">
            <v>2</v>
          </cell>
          <cell r="D331">
            <v>6</v>
          </cell>
          <cell r="E331">
            <v>-1.6135832125212926</v>
          </cell>
          <cell r="F331">
            <v>-0.98488418593067284</v>
          </cell>
          <cell r="G331">
            <v>1.1456030314847414</v>
          </cell>
        </row>
        <row r="332">
          <cell r="A332">
            <v>64</v>
          </cell>
          <cell r="B332">
            <v>2</v>
          </cell>
          <cell r="C332">
            <v>1</v>
          </cell>
          <cell r="D332">
            <v>5</v>
          </cell>
          <cell r="E332">
            <v>-1.0861515807276292</v>
          </cell>
          <cell r="F332">
            <v>-1.5107499503642448</v>
          </cell>
          <cell r="G332">
            <v>0.59384320407576385</v>
          </cell>
        </row>
        <row r="333">
          <cell r="A333">
            <v>65</v>
          </cell>
          <cell r="B333">
            <v>1</v>
          </cell>
          <cell r="C333">
            <v>2</v>
          </cell>
          <cell r="D333">
            <v>7</v>
          </cell>
          <cell r="E333">
            <v>-1.6135832125212926</v>
          </cell>
          <cell r="F333">
            <v>-0.98488418593067284</v>
          </cell>
          <cell r="G333">
            <v>1.6973628588937191</v>
          </cell>
        </row>
        <row r="334">
          <cell r="A334">
            <v>66</v>
          </cell>
          <cell r="B334">
            <v>6</v>
          </cell>
          <cell r="C334">
            <v>4</v>
          </cell>
          <cell r="D334">
            <v>1</v>
          </cell>
          <cell r="E334">
            <v>1.0235749464470247</v>
          </cell>
          <cell r="F334">
            <v>6.6847342936471071E-2</v>
          </cell>
          <cell r="G334">
            <v>-1.6131961055601465</v>
          </cell>
        </row>
        <row r="335">
          <cell r="A335">
            <v>67</v>
          </cell>
          <cell r="B335">
            <v>7</v>
          </cell>
          <cell r="C335">
            <v>4</v>
          </cell>
          <cell r="D335">
            <v>2</v>
          </cell>
          <cell r="E335">
            <v>1.5510065782406881</v>
          </cell>
          <cell r="F335">
            <v>6.6847342936471071E-2</v>
          </cell>
          <cell r="G335">
            <v>-1.0614362781511688</v>
          </cell>
        </row>
        <row r="336">
          <cell r="A336">
            <v>68</v>
          </cell>
          <cell r="B336">
            <v>7</v>
          </cell>
          <cell r="C336">
            <v>4</v>
          </cell>
          <cell r="D336">
            <v>1</v>
          </cell>
          <cell r="E336">
            <v>1.5510065782406881</v>
          </cell>
          <cell r="F336">
            <v>6.6847342936471071E-2</v>
          </cell>
          <cell r="G336">
            <v>-1.6131961055601465</v>
          </cell>
        </row>
        <row r="337">
          <cell r="A337">
            <v>69</v>
          </cell>
          <cell r="B337">
            <v>3</v>
          </cell>
          <cell r="C337">
            <v>6</v>
          </cell>
          <cell r="D337">
            <v>3</v>
          </cell>
          <cell r="E337">
            <v>-0.5587199489339657</v>
          </cell>
          <cell r="F337">
            <v>1.1185788718036149</v>
          </cell>
          <cell r="G337">
            <v>-0.50967645074219126</v>
          </cell>
        </row>
        <row r="338">
          <cell r="A338">
            <v>70</v>
          </cell>
          <cell r="B338">
            <v>1</v>
          </cell>
          <cell r="C338">
            <v>1</v>
          </cell>
          <cell r="D338">
            <v>5</v>
          </cell>
          <cell r="E338">
            <v>-1.6135832125212926</v>
          </cell>
          <cell r="F338">
            <v>-1.5107499503642448</v>
          </cell>
          <cell r="G338">
            <v>0.59384320407576385</v>
          </cell>
        </row>
        <row r="339">
          <cell r="A339">
            <v>71</v>
          </cell>
          <cell r="B339">
            <v>4</v>
          </cell>
          <cell r="C339">
            <v>7</v>
          </cell>
          <cell r="D339">
            <v>3</v>
          </cell>
          <cell r="E339">
            <v>-3.1288317140302224E-2</v>
          </cell>
          <cell r="F339">
            <v>1.644444636237187</v>
          </cell>
          <cell r="G339">
            <v>-0.50967645074219126</v>
          </cell>
        </row>
        <row r="340">
          <cell r="A340">
            <v>72</v>
          </cell>
          <cell r="B340">
            <v>1</v>
          </cell>
          <cell r="C340">
            <v>3</v>
          </cell>
          <cell r="D340">
            <v>6</v>
          </cell>
          <cell r="E340">
            <v>-1.6135832125212926</v>
          </cell>
          <cell r="F340">
            <v>-0.45901842149710087</v>
          </cell>
          <cell r="G340">
            <v>1.1456030314847414</v>
          </cell>
        </row>
        <row r="341">
          <cell r="A341">
            <v>73</v>
          </cell>
          <cell r="B341">
            <v>7</v>
          </cell>
          <cell r="C341">
            <v>3</v>
          </cell>
          <cell r="D341">
            <v>1</v>
          </cell>
          <cell r="E341">
            <v>1.5510065782406881</v>
          </cell>
          <cell r="F341">
            <v>-0.45901842149710087</v>
          </cell>
          <cell r="G341">
            <v>-1.6131961055601465</v>
          </cell>
        </row>
        <row r="342">
          <cell r="A342">
            <v>74</v>
          </cell>
          <cell r="B342">
            <v>5</v>
          </cell>
          <cell r="C342">
            <v>4</v>
          </cell>
          <cell r="D342">
            <v>2</v>
          </cell>
          <cell r="E342">
            <v>0.49614331465336126</v>
          </cell>
          <cell r="F342">
            <v>6.6847342936471071E-2</v>
          </cell>
          <cell r="G342">
            <v>-1.0614362781511688</v>
          </cell>
        </row>
        <row r="343">
          <cell r="A343">
            <v>75</v>
          </cell>
          <cell r="B343">
            <v>6</v>
          </cell>
          <cell r="C343">
            <v>4</v>
          </cell>
          <cell r="D343">
            <v>2</v>
          </cell>
          <cell r="E343">
            <v>1.0235749464470247</v>
          </cell>
          <cell r="F343">
            <v>6.6847342936471071E-2</v>
          </cell>
          <cell r="G343">
            <v>-1.0614362781511688</v>
          </cell>
        </row>
        <row r="344">
          <cell r="A344">
            <v>76</v>
          </cell>
          <cell r="B344">
            <v>6</v>
          </cell>
          <cell r="C344">
            <v>3</v>
          </cell>
          <cell r="D344">
            <v>1</v>
          </cell>
          <cell r="E344">
            <v>1.0235749464470247</v>
          </cell>
          <cell r="F344">
            <v>-0.45901842149710087</v>
          </cell>
          <cell r="G344">
            <v>-1.6131961055601465</v>
          </cell>
        </row>
        <row r="345">
          <cell r="A345">
            <v>77</v>
          </cell>
          <cell r="B345">
            <v>2</v>
          </cell>
          <cell r="C345">
            <v>1</v>
          </cell>
          <cell r="D345">
            <v>7</v>
          </cell>
          <cell r="E345">
            <v>-1.0861515807276292</v>
          </cell>
          <cell r="F345">
            <v>-1.5107499503642448</v>
          </cell>
          <cell r="G345">
            <v>1.6973628588937191</v>
          </cell>
        </row>
        <row r="346">
          <cell r="A346">
            <v>78</v>
          </cell>
          <cell r="B346">
            <v>5</v>
          </cell>
          <cell r="C346">
            <v>6</v>
          </cell>
          <cell r="D346">
            <v>4</v>
          </cell>
          <cell r="E346">
            <v>0.49614331465336126</v>
          </cell>
          <cell r="F346">
            <v>1.1185788718036149</v>
          </cell>
          <cell r="G346">
            <v>4.2083376666786312E-2</v>
          </cell>
        </row>
        <row r="347">
          <cell r="A347">
            <v>79</v>
          </cell>
          <cell r="B347">
            <v>3</v>
          </cell>
          <cell r="C347">
            <v>2</v>
          </cell>
          <cell r="D347">
            <v>6</v>
          </cell>
          <cell r="E347">
            <v>-0.5587199489339657</v>
          </cell>
          <cell r="F347">
            <v>-0.98488418593067284</v>
          </cell>
          <cell r="G347">
            <v>1.1456030314847414</v>
          </cell>
        </row>
        <row r="348">
          <cell r="A348">
            <v>80</v>
          </cell>
          <cell r="B348">
            <v>2</v>
          </cell>
          <cell r="C348">
            <v>1</v>
          </cell>
          <cell r="D348">
            <v>6</v>
          </cell>
          <cell r="E348">
            <v>-1.0861515807276292</v>
          </cell>
          <cell r="F348">
            <v>-1.5107499503642448</v>
          </cell>
          <cell r="G348">
            <v>1.1456030314847414</v>
          </cell>
        </row>
        <row r="349">
          <cell r="A349">
            <v>81</v>
          </cell>
          <cell r="B349">
            <v>3</v>
          </cell>
          <cell r="C349">
            <v>5</v>
          </cell>
          <cell r="D349">
            <v>3</v>
          </cell>
          <cell r="E349">
            <v>-0.5587199489339657</v>
          </cell>
          <cell r="F349">
            <v>0.59271310737004301</v>
          </cell>
          <cell r="G349">
            <v>-0.50967645074219126</v>
          </cell>
        </row>
        <row r="350">
          <cell r="A350">
            <v>82</v>
          </cell>
          <cell r="B350">
            <v>7</v>
          </cell>
          <cell r="C350">
            <v>5</v>
          </cell>
          <cell r="D350">
            <v>3</v>
          </cell>
          <cell r="E350">
            <v>1.5510065782406881</v>
          </cell>
          <cell r="F350">
            <v>0.59271310737004301</v>
          </cell>
          <cell r="G350">
            <v>-0.50967645074219126</v>
          </cell>
        </row>
        <row r="351">
          <cell r="A351">
            <v>83</v>
          </cell>
          <cell r="B351">
            <v>3</v>
          </cell>
          <cell r="C351">
            <v>1</v>
          </cell>
          <cell r="D351">
            <v>6</v>
          </cell>
          <cell r="E351">
            <v>-0.5587199489339657</v>
          </cell>
          <cell r="F351">
            <v>-1.5107499503642448</v>
          </cell>
          <cell r="G351">
            <v>1.1456030314847414</v>
          </cell>
        </row>
        <row r="352">
          <cell r="A352">
            <v>84</v>
          </cell>
          <cell r="B352">
            <v>7</v>
          </cell>
          <cell r="C352">
            <v>5</v>
          </cell>
          <cell r="D352">
            <v>3</v>
          </cell>
          <cell r="E352">
            <v>1.5510065782406881</v>
          </cell>
          <cell r="F352">
            <v>0.59271310737004301</v>
          </cell>
          <cell r="G352">
            <v>-0.50967645074219126</v>
          </cell>
        </row>
        <row r="353">
          <cell r="A353">
            <v>85</v>
          </cell>
          <cell r="B353">
            <v>7</v>
          </cell>
          <cell r="C353">
            <v>3</v>
          </cell>
          <cell r="D353">
            <v>2</v>
          </cell>
          <cell r="E353">
            <v>1.5510065782406881</v>
          </cell>
          <cell r="F353">
            <v>-0.45901842149710087</v>
          </cell>
          <cell r="G353">
            <v>-1.0614362781511688</v>
          </cell>
        </row>
        <row r="354">
          <cell r="A354">
            <v>86</v>
          </cell>
          <cell r="B354">
            <v>3</v>
          </cell>
          <cell r="C354">
            <v>1</v>
          </cell>
          <cell r="D354">
            <v>5</v>
          </cell>
          <cell r="E354">
            <v>-0.5587199489339657</v>
          </cell>
          <cell r="F354">
            <v>-1.5107499503642448</v>
          </cell>
          <cell r="G354">
            <v>0.59384320407576385</v>
          </cell>
        </row>
        <row r="355">
          <cell r="A355">
            <v>87</v>
          </cell>
          <cell r="B355">
            <v>5</v>
          </cell>
          <cell r="C355">
            <v>5</v>
          </cell>
          <cell r="D355">
            <v>4</v>
          </cell>
          <cell r="E355">
            <v>0.49614331465336126</v>
          </cell>
          <cell r="F355">
            <v>0.59271310737004301</v>
          </cell>
          <cell r="G355">
            <v>4.2083376666786312E-2</v>
          </cell>
        </row>
        <row r="356">
          <cell r="A356">
            <v>88</v>
          </cell>
          <cell r="B356">
            <v>1</v>
          </cell>
          <cell r="C356">
            <v>1</v>
          </cell>
          <cell r="D356">
            <v>5</v>
          </cell>
          <cell r="E356">
            <v>-1.6135832125212926</v>
          </cell>
          <cell r="F356">
            <v>-1.5107499503642448</v>
          </cell>
          <cell r="G356">
            <v>0.59384320407576385</v>
          </cell>
        </row>
        <row r="357">
          <cell r="A357">
            <v>89</v>
          </cell>
          <cell r="B357">
            <v>7</v>
          </cell>
          <cell r="C357">
            <v>4</v>
          </cell>
          <cell r="D357">
            <v>2</v>
          </cell>
          <cell r="E357">
            <v>1.5510065782406881</v>
          </cell>
          <cell r="F357">
            <v>6.6847342936471071E-2</v>
          </cell>
          <cell r="G357">
            <v>-1.0614362781511688</v>
          </cell>
        </row>
        <row r="358">
          <cell r="A358">
            <v>90</v>
          </cell>
          <cell r="B358">
            <v>7</v>
          </cell>
          <cell r="C358">
            <v>3</v>
          </cell>
          <cell r="D358">
            <v>3</v>
          </cell>
          <cell r="E358">
            <v>1.5510065782406881</v>
          </cell>
          <cell r="F358">
            <v>-0.45901842149710087</v>
          </cell>
          <cell r="G358">
            <v>-0.50967645074219126</v>
          </cell>
        </row>
        <row r="359">
          <cell r="A359">
            <v>91</v>
          </cell>
          <cell r="B359">
            <v>7</v>
          </cell>
          <cell r="C359">
            <v>5</v>
          </cell>
          <cell r="D359">
            <v>1</v>
          </cell>
          <cell r="E359">
            <v>1.5510065782406881</v>
          </cell>
          <cell r="F359">
            <v>0.59271310737004301</v>
          </cell>
          <cell r="G359">
            <v>-1.6131961055601465</v>
          </cell>
        </row>
        <row r="360">
          <cell r="A360">
            <v>92</v>
          </cell>
          <cell r="B360">
            <v>3</v>
          </cell>
          <cell r="C360">
            <v>6</v>
          </cell>
          <cell r="D360">
            <v>5</v>
          </cell>
          <cell r="E360">
            <v>-0.5587199489339657</v>
          </cell>
          <cell r="F360">
            <v>1.1185788718036149</v>
          </cell>
          <cell r="G360">
            <v>0.59384320407576385</v>
          </cell>
        </row>
        <row r="361">
          <cell r="A361">
            <v>93</v>
          </cell>
          <cell r="B361">
            <v>3</v>
          </cell>
          <cell r="C361">
            <v>2</v>
          </cell>
          <cell r="D361">
            <v>5</v>
          </cell>
          <cell r="E361">
            <v>-0.5587199489339657</v>
          </cell>
          <cell r="F361">
            <v>-0.98488418593067284</v>
          </cell>
          <cell r="G361">
            <v>0.59384320407576385</v>
          </cell>
        </row>
        <row r="362">
          <cell r="A362">
            <v>94</v>
          </cell>
          <cell r="B362">
            <v>4</v>
          </cell>
          <cell r="C362">
            <v>7</v>
          </cell>
          <cell r="D362">
            <v>5</v>
          </cell>
          <cell r="E362">
            <v>-3.1288317140302224E-2</v>
          </cell>
          <cell r="F362">
            <v>1.644444636237187</v>
          </cell>
          <cell r="G362">
            <v>0.59384320407576385</v>
          </cell>
        </row>
        <row r="363">
          <cell r="A363">
            <v>95</v>
          </cell>
          <cell r="B363">
            <v>1</v>
          </cell>
          <cell r="C363">
            <v>1</v>
          </cell>
          <cell r="D363">
            <v>6</v>
          </cell>
          <cell r="E363">
            <v>-1.6135832125212926</v>
          </cell>
          <cell r="F363">
            <v>-1.5107499503642448</v>
          </cell>
          <cell r="G363">
            <v>1.1456030314847414</v>
          </cell>
        </row>
        <row r="364">
          <cell r="A364">
            <v>96</v>
          </cell>
          <cell r="B364">
            <v>4</v>
          </cell>
          <cell r="C364">
            <v>5</v>
          </cell>
          <cell r="D364">
            <v>3</v>
          </cell>
          <cell r="E364">
            <v>-3.1288317140302224E-2</v>
          </cell>
          <cell r="F364">
            <v>0.59271310737004301</v>
          </cell>
          <cell r="G364">
            <v>-0.50967645074219126</v>
          </cell>
        </row>
        <row r="365">
          <cell r="A365">
            <v>97</v>
          </cell>
          <cell r="B365">
            <v>7</v>
          </cell>
          <cell r="C365">
            <v>5</v>
          </cell>
          <cell r="D365">
            <v>1</v>
          </cell>
          <cell r="E365">
            <v>1.5510065782406881</v>
          </cell>
          <cell r="F365">
            <v>0.59271310737004301</v>
          </cell>
          <cell r="G365">
            <v>-1.6131961055601465</v>
          </cell>
        </row>
        <row r="366">
          <cell r="A366">
            <v>98</v>
          </cell>
          <cell r="B366">
            <v>5</v>
          </cell>
          <cell r="C366">
            <v>5</v>
          </cell>
          <cell r="D366">
            <v>5</v>
          </cell>
          <cell r="E366">
            <v>0.49614331465336126</v>
          </cell>
          <cell r="F366">
            <v>0.59271310737004301</v>
          </cell>
          <cell r="G366">
            <v>0.59384320407576385</v>
          </cell>
        </row>
        <row r="367">
          <cell r="A367">
            <v>99</v>
          </cell>
          <cell r="B367">
            <v>5</v>
          </cell>
          <cell r="C367">
            <v>7</v>
          </cell>
          <cell r="D367">
            <v>5</v>
          </cell>
          <cell r="E367">
            <v>0.49614331465336126</v>
          </cell>
          <cell r="F367">
            <v>1.644444636237187</v>
          </cell>
          <cell r="G367">
            <v>0.59384320407576385</v>
          </cell>
        </row>
        <row r="368">
          <cell r="A368">
            <v>100</v>
          </cell>
          <cell r="B368">
            <v>6</v>
          </cell>
          <cell r="C368">
            <v>3</v>
          </cell>
          <cell r="D368">
            <v>1</v>
          </cell>
          <cell r="E368">
            <v>1.0235749464470247</v>
          </cell>
          <cell r="F368">
            <v>-0.45901842149710087</v>
          </cell>
          <cell r="G368">
            <v>-1.6131961055601465</v>
          </cell>
        </row>
        <row r="369">
          <cell r="A369">
            <v>101</v>
          </cell>
          <cell r="B369">
            <v>1</v>
          </cell>
          <cell r="C369">
            <v>3</v>
          </cell>
          <cell r="D369">
            <v>5</v>
          </cell>
          <cell r="E369">
            <v>-1.6135832125212926</v>
          </cell>
          <cell r="F369">
            <v>-0.45901842149710087</v>
          </cell>
          <cell r="G369">
            <v>0.59384320407576385</v>
          </cell>
        </row>
        <row r="370">
          <cell r="A370">
            <v>102</v>
          </cell>
          <cell r="B370">
            <v>2</v>
          </cell>
          <cell r="C370">
            <v>1</v>
          </cell>
          <cell r="D370">
            <v>6</v>
          </cell>
          <cell r="E370">
            <v>-1.0861515807276292</v>
          </cell>
          <cell r="F370">
            <v>-1.5107499503642448</v>
          </cell>
          <cell r="G370">
            <v>1.1456030314847414</v>
          </cell>
        </row>
        <row r="371">
          <cell r="A371">
            <v>103</v>
          </cell>
          <cell r="B371">
            <v>1</v>
          </cell>
          <cell r="C371">
            <v>3</v>
          </cell>
          <cell r="D371">
            <v>5</v>
          </cell>
          <cell r="E371">
            <v>-1.6135832125212926</v>
          </cell>
          <cell r="F371">
            <v>-0.45901842149710087</v>
          </cell>
          <cell r="G371">
            <v>0.59384320407576385</v>
          </cell>
        </row>
        <row r="372">
          <cell r="A372">
            <v>104</v>
          </cell>
          <cell r="B372">
            <v>5</v>
          </cell>
          <cell r="C372">
            <v>4</v>
          </cell>
          <cell r="D372">
            <v>1</v>
          </cell>
          <cell r="E372">
            <v>0.49614331465336126</v>
          </cell>
          <cell r="F372">
            <v>6.6847342936471071E-2</v>
          </cell>
          <cell r="G372">
            <v>-1.6131961055601465</v>
          </cell>
        </row>
        <row r="373">
          <cell r="A373">
            <v>105</v>
          </cell>
          <cell r="B373">
            <v>6</v>
          </cell>
          <cell r="C373">
            <v>5</v>
          </cell>
          <cell r="D373">
            <v>3</v>
          </cell>
          <cell r="E373">
            <v>1.0235749464470247</v>
          </cell>
          <cell r="F373">
            <v>0.59271310737004301</v>
          </cell>
          <cell r="G373">
            <v>-0.50967645074219126</v>
          </cell>
        </row>
        <row r="374">
          <cell r="A374">
            <v>106</v>
          </cell>
          <cell r="B374">
            <v>7</v>
          </cell>
          <cell r="C374">
            <v>3</v>
          </cell>
          <cell r="D374">
            <v>3</v>
          </cell>
          <cell r="E374">
            <v>1.5510065782406881</v>
          </cell>
          <cell r="F374">
            <v>-0.45901842149710087</v>
          </cell>
          <cell r="G374">
            <v>-0.50967645074219126</v>
          </cell>
        </row>
        <row r="375">
          <cell r="A375">
            <v>107</v>
          </cell>
          <cell r="B375">
            <v>1</v>
          </cell>
          <cell r="C375">
            <v>2</v>
          </cell>
          <cell r="D375">
            <v>6</v>
          </cell>
          <cell r="E375">
            <v>-1.6135832125212926</v>
          </cell>
          <cell r="F375">
            <v>-0.98488418593067284</v>
          </cell>
          <cell r="G375">
            <v>1.1456030314847414</v>
          </cell>
        </row>
        <row r="376">
          <cell r="A376">
            <v>108</v>
          </cell>
          <cell r="B376">
            <v>7</v>
          </cell>
          <cell r="C376">
            <v>4</v>
          </cell>
          <cell r="D376">
            <v>3</v>
          </cell>
          <cell r="E376">
            <v>1.5510065782406881</v>
          </cell>
          <cell r="F376">
            <v>6.6847342936471071E-2</v>
          </cell>
          <cell r="G376">
            <v>-0.50967645074219126</v>
          </cell>
        </row>
        <row r="377">
          <cell r="A377">
            <v>109</v>
          </cell>
          <cell r="B377">
            <v>3</v>
          </cell>
          <cell r="C377">
            <v>3</v>
          </cell>
          <cell r="D377">
            <v>6</v>
          </cell>
          <cell r="E377">
            <v>-0.5587199489339657</v>
          </cell>
          <cell r="F377">
            <v>-0.45901842149710087</v>
          </cell>
          <cell r="G377">
            <v>1.1456030314847414</v>
          </cell>
        </row>
        <row r="378">
          <cell r="A378">
            <v>110</v>
          </cell>
          <cell r="B378">
            <v>2</v>
          </cell>
          <cell r="C378">
            <v>2</v>
          </cell>
          <cell r="D378">
            <v>5</v>
          </cell>
          <cell r="E378">
            <v>-1.0861515807276292</v>
          </cell>
          <cell r="F378">
            <v>-0.98488418593067284</v>
          </cell>
          <cell r="G378">
            <v>0.59384320407576385</v>
          </cell>
        </row>
        <row r="379">
          <cell r="A379">
            <v>111</v>
          </cell>
          <cell r="B379">
            <v>7</v>
          </cell>
          <cell r="C379">
            <v>3</v>
          </cell>
          <cell r="D379">
            <v>2</v>
          </cell>
          <cell r="E379">
            <v>1.5510065782406881</v>
          </cell>
          <cell r="F379">
            <v>-0.45901842149710087</v>
          </cell>
          <cell r="G379">
            <v>-1.0614362781511688</v>
          </cell>
        </row>
        <row r="380">
          <cell r="A380">
            <v>112</v>
          </cell>
          <cell r="B380">
            <v>5</v>
          </cell>
          <cell r="C380">
            <v>7</v>
          </cell>
          <cell r="D380">
            <v>3</v>
          </cell>
          <cell r="E380">
            <v>0.49614331465336126</v>
          </cell>
          <cell r="F380">
            <v>1.644444636237187</v>
          </cell>
          <cell r="G380">
            <v>-0.50967645074219126</v>
          </cell>
        </row>
        <row r="381">
          <cell r="A381">
            <v>113</v>
          </cell>
          <cell r="B381">
            <v>5</v>
          </cell>
          <cell r="C381">
            <v>3</v>
          </cell>
          <cell r="D381">
            <v>2</v>
          </cell>
          <cell r="E381">
            <v>0.49614331465336126</v>
          </cell>
          <cell r="F381">
            <v>-0.45901842149710087</v>
          </cell>
          <cell r="G381">
            <v>-1.0614362781511688</v>
          </cell>
        </row>
        <row r="382">
          <cell r="A382">
            <v>114</v>
          </cell>
          <cell r="B382">
            <v>3</v>
          </cell>
          <cell r="C382">
            <v>7</v>
          </cell>
          <cell r="D382">
            <v>5</v>
          </cell>
          <cell r="E382">
            <v>-0.5587199489339657</v>
          </cell>
          <cell r="F382">
            <v>1.644444636237187</v>
          </cell>
          <cell r="G382">
            <v>0.59384320407576385</v>
          </cell>
        </row>
        <row r="383">
          <cell r="A383">
            <v>115</v>
          </cell>
          <cell r="B383">
            <v>5</v>
          </cell>
          <cell r="C383">
            <v>5</v>
          </cell>
          <cell r="D383">
            <v>1</v>
          </cell>
          <cell r="E383">
            <v>0.49614331465336126</v>
          </cell>
          <cell r="F383">
            <v>0.59271310737004301</v>
          </cell>
          <cell r="G383">
            <v>-1.6131961055601465</v>
          </cell>
        </row>
        <row r="384">
          <cell r="A384">
            <v>116</v>
          </cell>
          <cell r="B384">
            <v>1</v>
          </cell>
          <cell r="C384">
            <v>3</v>
          </cell>
          <cell r="D384">
            <v>6</v>
          </cell>
          <cell r="E384">
            <v>-1.6135832125212926</v>
          </cell>
          <cell r="F384">
            <v>-0.45901842149710087</v>
          </cell>
          <cell r="G384">
            <v>1.1456030314847414</v>
          </cell>
        </row>
        <row r="385">
          <cell r="A385">
            <v>117</v>
          </cell>
          <cell r="B385">
            <v>6</v>
          </cell>
          <cell r="C385">
            <v>4</v>
          </cell>
          <cell r="D385">
            <v>2</v>
          </cell>
          <cell r="E385">
            <v>1.0235749464470247</v>
          </cell>
          <cell r="F385">
            <v>6.6847342936471071E-2</v>
          </cell>
          <cell r="G385">
            <v>-1.0614362781511688</v>
          </cell>
        </row>
        <row r="386">
          <cell r="A386">
            <v>118</v>
          </cell>
          <cell r="B386">
            <v>5</v>
          </cell>
          <cell r="C386">
            <v>3</v>
          </cell>
          <cell r="D386">
            <v>2</v>
          </cell>
          <cell r="E386">
            <v>0.49614331465336126</v>
          </cell>
          <cell r="F386">
            <v>-0.45901842149710087</v>
          </cell>
          <cell r="G386">
            <v>-1.0614362781511688</v>
          </cell>
        </row>
      </sheetData>
      <sheetData sheetId="1" refreshError="1"/>
      <sheetData sheetId="2" refreshError="1"/>
      <sheetData sheetId="3" refreshError="1"/>
      <sheetData sheetId="4" refreshError="1">
        <row r="6">
          <cell r="B6">
            <v>3166.8418019945248</v>
          </cell>
        </row>
      </sheetData>
      <sheetData sheetId="5" refreshError="1"/>
      <sheetData sheetId="6" refreshError="1"/>
      <sheetData sheetId="7" refreshError="1">
        <row r="11">
          <cell r="D11">
            <v>1113139812.5750859</v>
          </cell>
          <cell r="K11">
            <v>1241790434.5233545</v>
          </cell>
          <cell r="L11">
            <v>0.59819149918778336</v>
          </cell>
        </row>
      </sheetData>
      <sheetData sheetId="8" refreshError="1">
        <row r="4">
          <cell r="M4">
            <v>1</v>
          </cell>
        </row>
        <row r="11">
          <cell r="B11">
            <v>43073</v>
          </cell>
          <cell r="C11">
            <v>10</v>
          </cell>
          <cell r="D11">
            <v>37600</v>
          </cell>
          <cell r="L11">
            <v>2</v>
          </cell>
          <cell r="M11">
            <v>3</v>
          </cell>
          <cell r="N11">
            <v>1</v>
          </cell>
        </row>
        <row r="12">
          <cell r="B12">
            <v>43086</v>
          </cell>
          <cell r="C12">
            <v>41</v>
          </cell>
          <cell r="D12">
            <v>37517</v>
          </cell>
          <cell r="L12">
            <v>1</v>
          </cell>
          <cell r="M12">
            <v>1</v>
          </cell>
          <cell r="N12">
            <v>2</v>
          </cell>
        </row>
        <row r="13">
          <cell r="B13">
            <v>42996</v>
          </cell>
          <cell r="C13">
            <v>5</v>
          </cell>
          <cell r="D13">
            <v>37553</v>
          </cell>
          <cell r="L13">
            <v>4</v>
          </cell>
          <cell r="M13">
            <v>4</v>
          </cell>
          <cell r="N13">
            <v>2</v>
          </cell>
        </row>
        <row r="14">
          <cell r="B14">
            <v>43085</v>
          </cell>
          <cell r="C14">
            <v>11</v>
          </cell>
          <cell r="D14">
            <v>37587</v>
          </cell>
          <cell r="L14">
            <v>1</v>
          </cell>
          <cell r="M14">
            <v>2</v>
          </cell>
          <cell r="N14">
            <v>2</v>
          </cell>
        </row>
        <row r="15">
          <cell r="B15">
            <v>43053</v>
          </cell>
          <cell r="C15">
            <v>7</v>
          </cell>
          <cell r="D15">
            <v>37590</v>
          </cell>
          <cell r="L15">
            <v>3</v>
          </cell>
          <cell r="M15">
            <v>4</v>
          </cell>
          <cell r="N15">
            <v>1</v>
          </cell>
        </row>
        <row r="16">
          <cell r="B16">
            <v>43076</v>
          </cell>
          <cell r="C16">
            <v>24</v>
          </cell>
          <cell r="D16">
            <v>37581</v>
          </cell>
          <cell r="L16">
            <v>2</v>
          </cell>
          <cell r="M16">
            <v>1</v>
          </cell>
          <cell r="N16">
            <v>2</v>
          </cell>
        </row>
        <row r="17">
          <cell r="B17">
            <v>43032</v>
          </cell>
          <cell r="C17">
            <v>3</v>
          </cell>
          <cell r="D17">
            <v>3172</v>
          </cell>
          <cell r="L17">
            <v>4</v>
          </cell>
          <cell r="M17">
            <v>4</v>
          </cell>
          <cell r="N17">
            <v>4</v>
          </cell>
        </row>
        <row r="18">
          <cell r="B18">
            <v>43069</v>
          </cell>
          <cell r="C18">
            <v>7</v>
          </cell>
          <cell r="D18">
            <v>1832</v>
          </cell>
          <cell r="L18">
            <v>2</v>
          </cell>
          <cell r="M18">
            <v>4</v>
          </cell>
          <cell r="N18">
            <v>4</v>
          </cell>
        </row>
        <row r="19">
          <cell r="B19">
            <v>43060</v>
          </cell>
          <cell r="C19">
            <v>20</v>
          </cell>
          <cell r="D19">
            <v>37613</v>
          </cell>
          <cell r="L19">
            <v>3</v>
          </cell>
          <cell r="M19">
            <v>1</v>
          </cell>
          <cell r="N19">
            <v>1</v>
          </cell>
        </row>
        <row r="20">
          <cell r="B20">
            <v>43013</v>
          </cell>
          <cell r="C20">
            <v>7</v>
          </cell>
          <cell r="D20">
            <v>1941</v>
          </cell>
          <cell r="L20">
            <v>4</v>
          </cell>
          <cell r="M20">
            <v>4</v>
          </cell>
          <cell r="N20">
            <v>4</v>
          </cell>
        </row>
        <row r="21">
          <cell r="B21">
            <v>43092</v>
          </cell>
          <cell r="C21">
            <v>12</v>
          </cell>
          <cell r="D21">
            <v>14220</v>
          </cell>
          <cell r="L21">
            <v>1</v>
          </cell>
          <cell r="M21">
            <v>2</v>
          </cell>
          <cell r="N21">
            <v>3</v>
          </cell>
        </row>
        <row r="22">
          <cell r="B22">
            <v>43063</v>
          </cell>
          <cell r="C22">
            <v>10</v>
          </cell>
          <cell r="D22">
            <v>10036</v>
          </cell>
          <cell r="L22">
            <v>3</v>
          </cell>
          <cell r="M22">
            <v>3</v>
          </cell>
          <cell r="N22">
            <v>3</v>
          </cell>
        </row>
        <row r="23">
          <cell r="B23">
            <v>43070</v>
          </cell>
          <cell r="C23">
            <v>11</v>
          </cell>
          <cell r="D23">
            <v>30350</v>
          </cell>
          <cell r="L23">
            <v>2</v>
          </cell>
          <cell r="M23">
            <v>2</v>
          </cell>
          <cell r="N23">
            <v>3</v>
          </cell>
        </row>
        <row r="24">
          <cell r="B24">
            <v>42936</v>
          </cell>
          <cell r="C24">
            <v>3</v>
          </cell>
          <cell r="D24">
            <v>3155</v>
          </cell>
          <cell r="L24">
            <v>4</v>
          </cell>
          <cell r="M24">
            <v>4</v>
          </cell>
          <cell r="N24">
            <v>4</v>
          </cell>
        </row>
        <row r="25">
          <cell r="B25">
            <v>43093</v>
          </cell>
          <cell r="C25">
            <v>25</v>
          </cell>
          <cell r="D25">
            <v>37614</v>
          </cell>
          <cell r="L25">
            <v>1</v>
          </cell>
          <cell r="M25">
            <v>1</v>
          </cell>
          <cell r="N25">
            <v>1</v>
          </cell>
        </row>
        <row r="26">
          <cell r="B26">
            <v>42989</v>
          </cell>
          <cell r="C26">
            <v>8</v>
          </cell>
          <cell r="D26">
            <v>5050</v>
          </cell>
          <cell r="L26">
            <v>4</v>
          </cell>
          <cell r="M26">
            <v>3</v>
          </cell>
          <cell r="N26">
            <v>3</v>
          </cell>
        </row>
        <row r="27">
          <cell r="B27">
            <v>43046</v>
          </cell>
          <cell r="C27">
            <v>14</v>
          </cell>
          <cell r="D27">
            <v>8276</v>
          </cell>
          <cell r="L27">
            <v>3</v>
          </cell>
          <cell r="M27">
            <v>2</v>
          </cell>
          <cell r="N27">
            <v>3</v>
          </cell>
        </row>
        <row r="28">
          <cell r="B28">
            <v>43084</v>
          </cell>
          <cell r="C28">
            <v>20</v>
          </cell>
          <cell r="D28">
            <v>37571</v>
          </cell>
          <cell r="L28">
            <v>1</v>
          </cell>
          <cell r="M28">
            <v>1</v>
          </cell>
          <cell r="N28">
            <v>2</v>
          </cell>
        </row>
        <row r="29">
          <cell r="B29">
            <v>43032</v>
          </cell>
          <cell r="C29">
            <v>4</v>
          </cell>
          <cell r="D29">
            <v>1993</v>
          </cell>
          <cell r="L29">
            <v>4</v>
          </cell>
          <cell r="M29">
            <v>4</v>
          </cell>
          <cell r="N29">
            <v>4</v>
          </cell>
        </row>
        <row r="30">
          <cell r="B30">
            <v>43083</v>
          </cell>
          <cell r="C30">
            <v>16</v>
          </cell>
          <cell r="D30">
            <v>37607</v>
          </cell>
          <cell r="L30">
            <v>2</v>
          </cell>
          <cell r="M30">
            <v>2</v>
          </cell>
          <cell r="N30">
            <v>1</v>
          </cell>
        </row>
      </sheetData>
      <sheetData sheetId="9" refreshError="1">
        <row r="10">
          <cell r="A10" t="str">
            <v>Customer #</v>
          </cell>
          <cell r="B10" t="str">
            <v>Company Name</v>
          </cell>
          <cell r="C10" t="str">
            <v>Most 
Recent Order</v>
          </cell>
          <cell r="D10" t="str">
            <v>Number of 
Orders</v>
          </cell>
          <cell r="E10" t="str">
            <v>Sales 
Dollars ($)</v>
          </cell>
          <cell r="F10" t="str">
            <v>Specialty Jobs</v>
          </cell>
          <cell r="G10" t="str">
            <v>Response Time</v>
          </cell>
          <cell r="H10" t="str">
            <v>Sustainability</v>
          </cell>
          <cell r="I10" t="str">
            <v>Printing Solutions</v>
          </cell>
          <cell r="J10" t="str">
            <v>Z Most Recent</v>
          </cell>
          <cell r="K10" t="str">
            <v>Z Orders</v>
          </cell>
          <cell r="L10" t="str">
            <v>Z Sales $</v>
          </cell>
          <cell r="M10" t="str">
            <v>Z Specialty Jobs</v>
          </cell>
          <cell r="N10" t="str">
            <v>Z Response Time</v>
          </cell>
          <cell r="O10" t="str">
            <v>Z Sustainability</v>
          </cell>
          <cell r="P10" t="str">
            <v>Z Printing Solutions</v>
          </cell>
        </row>
        <row r="11">
          <cell r="A11">
            <v>1</v>
          </cell>
          <cell r="B11" t="str">
            <v>Bergstad's Supply</v>
          </cell>
          <cell r="C11">
            <v>43073</v>
          </cell>
          <cell r="D11">
            <v>10</v>
          </cell>
          <cell r="E11">
            <v>37600</v>
          </cell>
          <cell r="F11">
            <v>8.1673271795001714</v>
          </cell>
          <cell r="G11">
            <v>5.6415241282893591</v>
          </cell>
          <cell r="H11">
            <v>9.8567536554873332</v>
          </cell>
          <cell r="I11">
            <v>5.8522509615079983</v>
          </cell>
          <cell r="J11">
            <v>0.520715112196803</v>
          </cell>
          <cell r="K11">
            <v>-0.31008832924514818</v>
          </cell>
          <cell r="L11">
            <v>0.90520918173801346</v>
          </cell>
          <cell r="M11">
            <v>1.0872537158820748</v>
          </cell>
          <cell r="N11">
            <v>-0.63054064243295993</v>
          </cell>
          <cell r="O11">
            <v>1.1774436514114761</v>
          </cell>
          <cell r="P11">
            <v>-0.50437783626809851</v>
          </cell>
        </row>
        <row r="12">
          <cell r="A12">
            <v>2</v>
          </cell>
          <cell r="B12" t="str">
            <v>Blum's Goods</v>
          </cell>
          <cell r="C12">
            <v>43086</v>
          </cell>
          <cell r="D12">
            <v>41</v>
          </cell>
          <cell r="E12">
            <v>37517</v>
          </cell>
          <cell r="F12">
            <v>8.8434785824764575</v>
          </cell>
          <cell r="G12">
            <v>7.7544299816348667</v>
          </cell>
          <cell r="H12">
            <v>7.3109959012078534</v>
          </cell>
          <cell r="I12">
            <v>6.5628217875697548</v>
          </cell>
          <cell r="J12">
            <v>0.83630002867975672</v>
          </cell>
          <cell r="K12">
            <v>3.0046489833754015</v>
          </cell>
          <cell r="L12">
            <v>0.90013510497185023</v>
          </cell>
          <cell r="M12">
            <v>1.5290201368288177</v>
          </cell>
          <cell r="N12">
            <v>0.41104886405185215</v>
          </cell>
          <cell r="O12">
            <v>-9.0002897795385423E-2</v>
          </cell>
          <cell r="P12">
            <v>-0.13462018928255451</v>
          </cell>
        </row>
        <row r="13">
          <cell r="A13">
            <v>3</v>
          </cell>
          <cell r="B13" t="str">
            <v>Cherry Creek Inc</v>
          </cell>
          <cell r="C13">
            <v>42996</v>
          </cell>
          <cell r="D13">
            <v>5</v>
          </cell>
          <cell r="E13">
            <v>37553</v>
          </cell>
          <cell r="F13">
            <v>4.9191620645845218</v>
          </cell>
          <cell r="G13">
            <v>5.14565395311564</v>
          </cell>
          <cell r="H13">
            <v>9.1969779833493899</v>
          </cell>
          <cell r="I13">
            <v>5.837503454096038</v>
          </cell>
          <cell r="J13">
            <v>-1.3485186238945384</v>
          </cell>
          <cell r="K13">
            <v>-0.84472337966781741</v>
          </cell>
          <cell r="L13">
            <v>0.90233590935235475</v>
          </cell>
          <cell r="M13">
            <v>-1.0349489019695932</v>
          </cell>
          <cell r="N13">
            <v>-0.8749874880990518</v>
          </cell>
          <cell r="O13">
            <v>0.84896369392292459</v>
          </cell>
          <cell r="P13">
            <v>-0.51205195324496744</v>
          </cell>
        </row>
        <row r="14">
          <cell r="A14">
            <v>4</v>
          </cell>
          <cell r="B14" t="str">
            <v>Consolidated Holdings</v>
          </cell>
          <cell r="C14">
            <v>43085</v>
          </cell>
          <cell r="D14">
            <v>11</v>
          </cell>
          <cell r="E14">
            <v>37587</v>
          </cell>
          <cell r="F14">
            <v>4.584487981346574</v>
          </cell>
          <cell r="G14">
            <v>9.428789123717543</v>
          </cell>
          <cell r="H14">
            <v>5.4848904606311795</v>
          </cell>
          <cell r="I14">
            <v>4.3510805698945774</v>
          </cell>
          <cell r="J14">
            <v>0.81202426587337562</v>
          </cell>
          <cell r="K14">
            <v>-0.20316131916061436</v>
          </cell>
          <cell r="L14">
            <v>0.90441444682283123</v>
          </cell>
          <cell r="M14">
            <v>-1.2536096505606091</v>
          </cell>
          <cell r="N14">
            <v>1.2364500099282016</v>
          </cell>
          <cell r="O14">
            <v>-0.99915893797873201</v>
          </cell>
          <cell r="P14">
            <v>-1.2855374495943912</v>
          </cell>
        </row>
        <row r="15">
          <cell r="A15">
            <v>5</v>
          </cell>
          <cell r="B15" t="str">
            <v>Dollarwise Corp</v>
          </cell>
          <cell r="C15">
            <v>43053</v>
          </cell>
          <cell r="D15">
            <v>7</v>
          </cell>
          <cell r="E15">
            <v>37590</v>
          </cell>
          <cell r="F15">
            <v>4.5964874397234921</v>
          </cell>
          <cell r="G15">
            <v>4.5268592636652016</v>
          </cell>
          <cell r="H15">
            <v>5.52203981805566</v>
          </cell>
          <cell r="I15">
            <v>9.6267552801836231</v>
          </cell>
          <cell r="J15">
            <v>3.5199856069181877E-2</v>
          </cell>
          <cell r="K15">
            <v>-0.63086935949874978</v>
          </cell>
          <cell r="L15">
            <v>0.90459784718787328</v>
          </cell>
          <cell r="M15">
            <v>-1.2457697529324496</v>
          </cell>
          <cell r="N15">
            <v>-1.1800318677052593</v>
          </cell>
          <cell r="O15">
            <v>-0.98066353133850492</v>
          </cell>
          <cell r="P15">
            <v>1.4597498540643148</v>
          </cell>
        </row>
        <row r="16">
          <cell r="A16">
            <v>6</v>
          </cell>
          <cell r="B16" t="str">
            <v>Dunn's Holdings</v>
          </cell>
          <cell r="C16">
            <v>43076</v>
          </cell>
          <cell r="D16">
            <v>24</v>
          </cell>
          <cell r="E16">
            <v>37581</v>
          </cell>
          <cell r="F16">
            <v>5.1983815304005727</v>
          </cell>
          <cell r="G16">
            <v>6.406262969448365</v>
          </cell>
          <cell r="H16">
            <v>4.0821564815855913</v>
          </cell>
          <cell r="I16">
            <v>5.411725752866551</v>
          </cell>
          <cell r="J16">
            <v>0.59354240061594621</v>
          </cell>
          <cell r="K16">
            <v>1.1868898119383258</v>
          </cell>
          <cell r="L16">
            <v>0.90404764609274724</v>
          </cell>
          <cell r="M16">
            <v>-0.85251966566355775</v>
          </cell>
          <cell r="N16">
            <v>-0.25355084381445842</v>
          </cell>
          <cell r="O16">
            <v>-1.6975326690251618</v>
          </cell>
          <cell r="P16">
            <v>-0.73361264103465473</v>
          </cell>
        </row>
        <row r="17">
          <cell r="A17">
            <v>7</v>
          </cell>
          <cell r="B17" t="str">
            <v>Empire Trading</v>
          </cell>
          <cell r="C17">
            <v>43032</v>
          </cell>
          <cell r="D17">
            <v>3</v>
          </cell>
          <cell r="E17">
            <v>3172</v>
          </cell>
          <cell r="F17">
            <v>4.7140291888327646</v>
          </cell>
          <cell r="G17">
            <v>7.9356016200483834</v>
          </cell>
          <cell r="H17">
            <v>8.5212457098514527</v>
          </cell>
          <cell r="I17">
            <v>6.9001140897335747</v>
          </cell>
          <cell r="J17">
            <v>-0.47459116286482028</v>
          </cell>
          <cell r="K17">
            <v>-1.0585773998368853</v>
          </cell>
          <cell r="L17">
            <v>-1.1994934074844765</v>
          </cell>
          <cell r="M17">
            <v>-1.1689733467026391</v>
          </cell>
          <cell r="N17">
            <v>0.50036021559427313</v>
          </cell>
          <cell r="O17">
            <v>0.51253948514149317</v>
          </cell>
          <cell r="P17">
            <v>4.0895612126933538E-2</v>
          </cell>
        </row>
        <row r="18">
          <cell r="A18">
            <v>8</v>
          </cell>
          <cell r="B18" t="str">
            <v>Fraser Distributors</v>
          </cell>
          <cell r="C18">
            <v>43069</v>
          </cell>
          <cell r="D18">
            <v>7</v>
          </cell>
          <cell r="E18">
            <v>1832</v>
          </cell>
          <cell r="F18">
            <v>4.7388254081855097</v>
          </cell>
          <cell r="G18">
            <v>4.6733421826995363</v>
          </cell>
          <cell r="H18">
            <v>7.0256381986670799</v>
          </cell>
          <cell r="I18">
            <v>4.1910765018189471</v>
          </cell>
          <cell r="J18">
            <v>0.42361206097127879</v>
          </cell>
          <cell r="K18">
            <v>-0.63086935949874978</v>
          </cell>
          <cell r="L18">
            <v>-1.2814122372032559</v>
          </cell>
          <cell r="M18">
            <v>-1.1527726303715709</v>
          </cell>
          <cell r="N18">
            <v>-1.1078208550357431</v>
          </cell>
          <cell r="O18">
            <v>-0.23207283149858871</v>
          </cell>
          <cell r="P18">
            <v>-1.3687982950299704</v>
          </cell>
        </row>
        <row r="19">
          <cell r="A19">
            <v>9</v>
          </cell>
          <cell r="B19" t="str">
            <v>Gorham Street Corp</v>
          </cell>
          <cell r="C19">
            <v>43060</v>
          </cell>
          <cell r="D19">
            <v>20</v>
          </cell>
          <cell r="E19">
            <v>37613</v>
          </cell>
          <cell r="F19">
            <v>5.7235233991612171</v>
          </cell>
          <cell r="G19">
            <v>5.1967198254429485</v>
          </cell>
          <cell r="H19">
            <v>8.1889303437858683</v>
          </cell>
          <cell r="I19">
            <v>6.9174210216651719</v>
          </cell>
          <cell r="J19">
            <v>0.20513019571384927</v>
          </cell>
          <cell r="K19">
            <v>0.75918177160019029</v>
          </cell>
          <cell r="L19">
            <v>0.90600391665319568</v>
          </cell>
          <cell r="M19">
            <v>-0.50941597197823918</v>
          </cell>
          <cell r="N19">
            <v>-0.84981377926039303</v>
          </cell>
          <cell r="O19">
            <v>0.34709092144362907</v>
          </cell>
          <cell r="P19">
            <v>4.990156929947049E-2</v>
          </cell>
        </row>
        <row r="20">
          <cell r="A20">
            <v>10</v>
          </cell>
          <cell r="B20" t="str">
            <v>Hanover Supply</v>
          </cell>
          <cell r="C20">
            <v>43013</v>
          </cell>
          <cell r="D20">
            <v>7</v>
          </cell>
          <cell r="E20">
            <v>1941</v>
          </cell>
          <cell r="F20">
            <v>7.7369194652166451</v>
          </cell>
          <cell r="G20">
            <v>9.3871495110063599</v>
          </cell>
          <cell r="H20">
            <v>7.4244373061768103</v>
          </cell>
          <cell r="I20">
            <v>7.7590389059401792</v>
          </cell>
          <cell r="J20">
            <v>-0.93583065618606032</v>
          </cell>
          <cell r="K20">
            <v>-0.63086935949874978</v>
          </cell>
          <cell r="L20">
            <v>-1.2747486906067282</v>
          </cell>
          <cell r="M20">
            <v>0.80604498859119866</v>
          </cell>
          <cell r="N20">
            <v>1.2159231210536279</v>
          </cell>
          <cell r="O20">
            <v>-3.3524265049051483E-2</v>
          </cell>
          <cell r="P20">
            <v>0.48785178782340444</v>
          </cell>
        </row>
        <row r="21">
          <cell r="A21">
            <v>11</v>
          </cell>
          <cell r="B21" t="str">
            <v>Highbridge Marketing</v>
          </cell>
          <cell r="C21">
            <v>43092</v>
          </cell>
          <cell r="D21">
            <v>12</v>
          </cell>
          <cell r="E21">
            <v>14220</v>
          </cell>
          <cell r="F21">
            <v>7.7646179130513646</v>
          </cell>
          <cell r="G21">
            <v>4.8692503535100542</v>
          </cell>
          <cell r="H21">
            <v>7.5031105505289197</v>
          </cell>
          <cell r="I21">
            <v>4.4935545794001719</v>
          </cell>
          <cell r="J21">
            <v>0.98195460551804303</v>
          </cell>
          <cell r="K21">
            <v>-9.6234309076080507E-2</v>
          </cell>
          <cell r="L21">
            <v>-0.52409099648964463</v>
          </cell>
          <cell r="M21">
            <v>0.82414188835634383</v>
          </cell>
          <cell r="N21">
            <v>-1.0112449027150214</v>
          </cell>
          <cell r="O21">
            <v>5.6444782853712263E-3</v>
          </cell>
          <cell r="P21">
            <v>-1.2113986690827268</v>
          </cell>
        </row>
        <row r="22">
          <cell r="A22">
            <v>12</v>
          </cell>
          <cell r="B22" t="str">
            <v>Island Trading</v>
          </cell>
          <cell r="C22">
            <v>43063</v>
          </cell>
          <cell r="D22">
            <v>10</v>
          </cell>
          <cell r="E22">
            <v>10036</v>
          </cell>
          <cell r="F22">
            <v>7.9094863782830815</v>
          </cell>
          <cell r="G22">
            <v>7.370132134768383</v>
          </cell>
          <cell r="H22">
            <v>4.6547140447890181</v>
          </cell>
          <cell r="I22">
            <v>9.7086059103075701</v>
          </cell>
          <cell r="J22">
            <v>0.27795748413299243</v>
          </cell>
          <cell r="K22">
            <v>-0.31008832924514818</v>
          </cell>
          <cell r="L22">
            <v>-0.77987337226828124</v>
          </cell>
          <cell r="M22">
            <v>0.91879232184173854</v>
          </cell>
          <cell r="N22">
            <v>0.22160331728172741</v>
          </cell>
          <cell r="O22">
            <v>-1.41247565349233</v>
          </cell>
          <cell r="P22">
            <v>1.5023422252803607</v>
          </cell>
        </row>
        <row r="23">
          <cell r="A23">
            <v>13</v>
          </cell>
          <cell r="B23" t="str">
            <v>Kingsgate Goods</v>
          </cell>
          <cell r="C23">
            <v>43070</v>
          </cell>
          <cell r="D23">
            <v>11</v>
          </cell>
          <cell r="E23">
            <v>30350</v>
          </cell>
          <cell r="F23">
            <v>7.6237152667299659</v>
          </cell>
          <cell r="G23">
            <v>9.907697795200237</v>
          </cell>
          <cell r="H23">
            <v>9.1500463585531708</v>
          </cell>
          <cell r="I23">
            <v>5.5542357224150614</v>
          </cell>
          <cell r="J23">
            <v>0.44788782377765984</v>
          </cell>
          <cell r="K23">
            <v>-0.20316131916061436</v>
          </cell>
          <cell r="L23">
            <v>0.4619916328864086</v>
          </cell>
          <cell r="M23">
            <v>0.73208253967595349</v>
          </cell>
          <cell r="N23">
            <v>1.4725354209232684</v>
          </cell>
          <cell r="O23">
            <v>0.8255980277291769</v>
          </cell>
          <cell r="P23">
            <v>-0.65945514810141825</v>
          </cell>
        </row>
        <row r="24">
          <cell r="A24">
            <v>14</v>
          </cell>
          <cell r="B24" t="str">
            <v>Lillegard Drugs</v>
          </cell>
          <cell r="C24">
            <v>42936</v>
          </cell>
          <cell r="D24">
            <v>3</v>
          </cell>
          <cell r="E24">
            <v>3155</v>
          </cell>
          <cell r="F24">
            <v>4.5101671687934539</v>
          </cell>
          <cell r="G24">
            <v>9.2200163563652566</v>
          </cell>
          <cell r="H24">
            <v>9.8871736950305138</v>
          </cell>
          <cell r="I24">
            <v>6.519103358156757</v>
          </cell>
          <cell r="J24">
            <v>-2.8050643922774015</v>
          </cell>
          <cell r="K24">
            <v>-1.0585773998368853</v>
          </cell>
          <cell r="L24">
            <v>-1.2005326762197146</v>
          </cell>
          <cell r="M24">
            <v>-1.3021674724018768</v>
          </cell>
          <cell r="N24">
            <v>1.1335322564610397</v>
          </cell>
          <cell r="O24">
            <v>1.1925887586318813</v>
          </cell>
          <cell r="P24">
            <v>-0.15736981957521265</v>
          </cell>
        </row>
        <row r="25">
          <cell r="A25">
            <v>15</v>
          </cell>
          <cell r="B25" t="str">
            <v>Margot Marketing Inc.</v>
          </cell>
          <cell r="C25">
            <v>43093</v>
          </cell>
          <cell r="D25">
            <v>25</v>
          </cell>
          <cell r="E25">
            <v>37614</v>
          </cell>
          <cell r="F25">
            <v>5.4097235119573135</v>
          </cell>
          <cell r="G25">
            <v>4.8643971725020716</v>
          </cell>
          <cell r="H25">
            <v>8.114628982250089</v>
          </cell>
          <cell r="I25">
            <v>5.1077199787633329</v>
          </cell>
          <cell r="J25">
            <v>1.006230368324424</v>
          </cell>
          <cell r="K25">
            <v>1.2938168220228596</v>
          </cell>
          <cell r="L25">
            <v>0.9060650501082097</v>
          </cell>
          <cell r="M25">
            <v>-0.71443847500545243</v>
          </cell>
          <cell r="N25">
            <v>-1.0136373530946643</v>
          </cell>
          <cell r="O25">
            <v>0.31009879046746386</v>
          </cell>
          <cell r="P25">
            <v>-0.89180722991952854</v>
          </cell>
        </row>
        <row r="26">
          <cell r="A26">
            <v>16</v>
          </cell>
          <cell r="B26" t="str">
            <v>Oceanview LLC</v>
          </cell>
          <cell r="C26">
            <v>42989</v>
          </cell>
          <cell r="D26">
            <v>8</v>
          </cell>
          <cell r="E26">
            <v>5050</v>
          </cell>
          <cell r="F26">
            <v>7.6239587988328044</v>
          </cell>
          <cell r="G26">
            <v>4.1820519766478581</v>
          </cell>
          <cell r="H26">
            <v>4.7823336981822475</v>
          </cell>
          <cell r="I26">
            <v>9.6640497791657918</v>
          </cell>
          <cell r="J26">
            <v>-1.5184489635392058</v>
          </cell>
          <cell r="K26">
            <v>-0.52394234941421591</v>
          </cell>
          <cell r="L26">
            <v>-1.0846847789681573</v>
          </cell>
          <cell r="M26">
            <v>0.73224165242049999</v>
          </cell>
          <cell r="N26">
            <v>-1.3500099343323637</v>
          </cell>
          <cell r="O26">
            <v>-1.3489381511387315</v>
          </cell>
          <cell r="P26">
            <v>1.479156682607474</v>
          </cell>
        </row>
        <row r="27">
          <cell r="A27">
            <v>17</v>
          </cell>
          <cell r="B27" t="str">
            <v>Piccadilly</v>
          </cell>
          <cell r="C27">
            <v>43046</v>
          </cell>
          <cell r="D27">
            <v>14</v>
          </cell>
          <cell r="E27">
            <v>8276</v>
          </cell>
          <cell r="F27">
            <v>7.7359519630039539</v>
          </cell>
          <cell r="G27">
            <v>9.8161799324668522</v>
          </cell>
          <cell r="H27">
            <v>4.4482692850391752</v>
          </cell>
          <cell r="I27">
            <v>6.1664626904715485</v>
          </cell>
          <cell r="J27">
            <v>-0.1347304835754855</v>
          </cell>
          <cell r="K27">
            <v>0.1176197110929872</v>
          </cell>
          <cell r="L27">
            <v>-0.88746825309294664</v>
          </cell>
          <cell r="M27">
            <v>0.80541286686834601</v>
          </cell>
          <cell r="N27">
            <v>1.4274202799300821</v>
          </cell>
          <cell r="O27">
            <v>-1.5152575061281219</v>
          </cell>
          <cell r="P27">
            <v>-0.3408724047254808</v>
          </cell>
        </row>
        <row r="28">
          <cell r="A28">
            <v>18</v>
          </cell>
          <cell r="B28" t="str">
            <v>Quality Plus Drug Supply</v>
          </cell>
          <cell r="C28">
            <v>43084</v>
          </cell>
          <cell r="D28">
            <v>20</v>
          </cell>
          <cell r="E28">
            <v>37571</v>
          </cell>
          <cell r="F28">
            <v>8.1176877548032138</v>
          </cell>
          <cell r="G28">
            <v>9.0821792817376501</v>
          </cell>
          <cell r="H28">
            <v>9.0122455194752344</v>
          </cell>
          <cell r="I28">
            <v>6.2923617355434027</v>
          </cell>
          <cell r="J28">
            <v>0.78774850306699462</v>
          </cell>
          <cell r="K28">
            <v>0.75918177160019029</v>
          </cell>
          <cell r="L28">
            <v>0.90343631154260706</v>
          </cell>
          <cell r="M28">
            <v>1.0548215847207654</v>
          </cell>
          <cell r="N28">
            <v>1.065583346049648</v>
          </cell>
          <cell r="O28">
            <v>0.75699165790724832</v>
          </cell>
          <cell r="P28">
            <v>-0.27535868961631327</v>
          </cell>
        </row>
        <row r="29">
          <cell r="A29">
            <v>19</v>
          </cell>
          <cell r="B29" t="str">
            <v>Queen's Express Distribution</v>
          </cell>
          <cell r="C29">
            <v>43032</v>
          </cell>
          <cell r="D29">
            <v>4</v>
          </cell>
          <cell r="E29">
            <v>1993</v>
          </cell>
          <cell r="F29">
            <v>6.7082460016191359</v>
          </cell>
          <cell r="G29">
            <v>5.6284067316423183</v>
          </cell>
          <cell r="H29">
            <v>9.8028299132439116</v>
          </cell>
          <cell r="I29">
            <v>9.7962643905730484</v>
          </cell>
          <cell r="J29">
            <v>-0.47459116286482028</v>
          </cell>
          <cell r="K29">
            <v>-0.95165038975235128</v>
          </cell>
          <cell r="L29">
            <v>-1.2715697509459996</v>
          </cell>
          <cell r="M29">
            <v>0.13395676643261933</v>
          </cell>
          <cell r="N29">
            <v>-0.63700706528768547</v>
          </cell>
          <cell r="O29">
            <v>1.1505968467962866</v>
          </cell>
          <cell r="P29">
            <v>1.5479568103611097</v>
          </cell>
        </row>
        <row r="30">
          <cell r="A30">
            <v>20</v>
          </cell>
          <cell r="B30" t="str">
            <v>Valley Store Supply</v>
          </cell>
          <cell r="C30">
            <v>43083</v>
          </cell>
          <cell r="D30">
            <v>16</v>
          </cell>
          <cell r="E30">
            <v>37607</v>
          </cell>
          <cell r="F30">
            <v>7.4381572390935125</v>
          </cell>
          <cell r="G30">
            <v>7.3753750649098038</v>
          </cell>
          <cell r="H30">
            <v>9.8660462746485535</v>
          </cell>
          <cell r="I30">
            <v>9.7183366544022718</v>
          </cell>
          <cell r="J30">
            <v>0.76347274026061351</v>
          </cell>
          <cell r="K30">
            <v>0.33147373126205487</v>
          </cell>
          <cell r="L30">
            <v>0.90563711592311158</v>
          </cell>
          <cell r="M30">
            <v>0.61084740596764142</v>
          </cell>
          <cell r="N30">
            <v>0.22418790050387619</v>
          </cell>
          <cell r="O30">
            <v>1.1820701317076407</v>
          </cell>
          <cell r="P30">
            <v>1.5074057839122523</v>
          </cell>
        </row>
      </sheetData>
      <sheetData sheetId="10" refreshError="1">
        <row r="29">
          <cell r="F29">
            <v>1</v>
          </cell>
          <cell r="G29">
            <v>0.99975566888014189</v>
          </cell>
          <cell r="H29">
            <v>0.9994511644570615</v>
          </cell>
          <cell r="I29">
            <v>0.99923965328694553</v>
          </cell>
          <cell r="J29">
            <v>0.99998372176261863</v>
          </cell>
          <cell r="K29">
            <v>0.99956428482035642</v>
          </cell>
        </row>
        <row r="30">
          <cell r="F30">
            <v>0.99975566888014189</v>
          </cell>
          <cell r="G30">
            <v>1</v>
          </cell>
          <cell r="H30">
            <v>0.99938793324039543</v>
          </cell>
          <cell r="I30">
            <v>0.99944738928900967</v>
          </cell>
          <cell r="J30">
            <v>0.99982262178921388</v>
          </cell>
          <cell r="K30">
            <v>0.99973229767366034</v>
          </cell>
        </row>
        <row r="31">
          <cell r="F31">
            <v>0.9994511644570615</v>
          </cell>
          <cell r="G31">
            <v>0.99938793324039543</v>
          </cell>
          <cell r="H31">
            <v>1</v>
          </cell>
          <cell r="I31">
            <v>0.99924911627382407</v>
          </cell>
          <cell r="J31">
            <v>0.99953811840531526</v>
          </cell>
          <cell r="K31">
            <v>0.99990241536952706</v>
          </cell>
        </row>
        <row r="32">
          <cell r="F32">
            <v>0.99923965328694553</v>
          </cell>
          <cell r="G32">
            <v>0.99944738928900967</v>
          </cell>
          <cell r="H32">
            <v>0.99924911627382407</v>
          </cell>
          <cell r="I32">
            <v>1</v>
          </cell>
          <cell r="J32">
            <v>0.99944042021355506</v>
          </cell>
          <cell r="K32">
            <v>0.99948513697879726</v>
          </cell>
        </row>
        <row r="33">
          <cell r="F33">
            <v>0.99998372176261863</v>
          </cell>
          <cell r="G33">
            <v>0.99982262178921388</v>
          </cell>
          <cell r="H33">
            <v>0.99953811840531526</v>
          </cell>
          <cell r="I33">
            <v>0.99944042021355506</v>
          </cell>
          <cell r="J33">
            <v>1</v>
          </cell>
          <cell r="K33">
            <v>0.99967233690352275</v>
          </cell>
        </row>
        <row r="34">
          <cell r="F34">
            <v>0.99956428482035642</v>
          </cell>
          <cell r="G34">
            <v>0.99973229767366034</v>
          </cell>
          <cell r="H34">
            <v>0.99990241536952706</v>
          </cell>
          <cell r="I34">
            <v>0.99948513697879726</v>
          </cell>
          <cell r="J34">
            <v>0.99967233690352275</v>
          </cell>
          <cell r="K34">
            <v>1</v>
          </cell>
        </row>
        <row r="47">
          <cell r="F47">
            <v>1000000</v>
          </cell>
          <cell r="G47">
            <v>129.1179205168965</v>
          </cell>
          <cell r="H47">
            <v>31.931166860534255</v>
          </cell>
          <cell r="I47">
            <v>1.2849514220329803</v>
          </cell>
          <cell r="J47">
            <v>55.668566488975372</v>
          </cell>
          <cell r="K47">
            <v>5.8395870919809632</v>
          </cell>
        </row>
        <row r="48">
          <cell r="F48">
            <v>47.312393977981031</v>
          </cell>
          <cell r="G48">
            <v>1000000</v>
          </cell>
          <cell r="H48">
            <v>1.2873062672379487</v>
          </cell>
          <cell r="I48">
            <v>5.2197322400245856</v>
          </cell>
          <cell r="J48">
            <v>44.28199694862316</v>
          </cell>
          <cell r="K48">
            <v>349.91142362585538</v>
          </cell>
        </row>
        <row r="49">
          <cell r="F49">
            <v>21.013990336323271</v>
          </cell>
          <cell r="G49">
            <v>5.2136685586537599</v>
          </cell>
          <cell r="H49">
            <v>1000000</v>
          </cell>
          <cell r="I49">
            <v>2.0381136573948226</v>
          </cell>
          <cell r="J49">
            <v>13.545093879449318</v>
          </cell>
          <cell r="K49">
            <v>197.40110889152086</v>
          </cell>
        </row>
        <row r="50">
          <cell r="F50">
            <v>0.4417565907924445</v>
          </cell>
          <cell r="G50">
            <v>39.694664690907736</v>
          </cell>
          <cell r="H50">
            <v>4.1021679422734989</v>
          </cell>
          <cell r="I50">
            <v>1000000</v>
          </cell>
          <cell r="J50">
            <v>2.3539586221577768</v>
          </cell>
          <cell r="K50">
            <v>36.432775576516441</v>
          </cell>
        </row>
        <row r="51">
          <cell r="F51">
            <v>278.9180108451402</v>
          </cell>
          <cell r="G51">
            <v>49.982577196342838</v>
          </cell>
          <cell r="H51">
            <v>43.903883508652306</v>
          </cell>
          <cell r="I51">
            <v>126.40217972672838</v>
          </cell>
          <cell r="J51">
            <v>1000000</v>
          </cell>
          <cell r="K51">
            <v>896.91045611604443</v>
          </cell>
        </row>
        <row r="52">
          <cell r="F52">
            <v>5.947449284211209</v>
          </cell>
          <cell r="G52">
            <v>538.83135070247374</v>
          </cell>
          <cell r="H52">
            <v>229.18420492998879</v>
          </cell>
          <cell r="I52">
            <v>42.602795103427361</v>
          </cell>
          <cell r="J52">
            <v>429.77342002346404</v>
          </cell>
          <cell r="K52">
            <v>1000000</v>
          </cell>
        </row>
        <row r="56">
          <cell r="F56">
            <v>31</v>
          </cell>
          <cell r="G56">
            <v>23</v>
          </cell>
          <cell r="H56">
            <v>13</v>
          </cell>
          <cell r="I56">
            <v>2</v>
          </cell>
          <cell r="J56">
            <v>21</v>
          </cell>
          <cell r="K56">
            <v>9</v>
          </cell>
        </row>
        <row r="57">
          <cell r="F57">
            <v>19</v>
          </cell>
          <cell r="G57">
            <v>31</v>
          </cell>
          <cell r="H57">
            <v>3</v>
          </cell>
          <cell r="I57">
            <v>8</v>
          </cell>
          <cell r="J57">
            <v>18</v>
          </cell>
          <cell r="K57">
            <v>27</v>
          </cell>
        </row>
        <row r="58">
          <cell r="F58">
            <v>12</v>
          </cell>
          <cell r="G58">
            <v>7</v>
          </cell>
          <cell r="H58">
            <v>31</v>
          </cell>
          <cell r="I58">
            <v>4</v>
          </cell>
          <cell r="J58">
            <v>11</v>
          </cell>
          <cell r="K58">
            <v>24</v>
          </cell>
        </row>
        <row r="59">
          <cell r="F59">
            <v>1</v>
          </cell>
          <cell r="G59">
            <v>15</v>
          </cell>
          <cell r="H59">
            <v>6</v>
          </cell>
          <cell r="I59">
            <v>31</v>
          </cell>
          <cell r="J59">
            <v>5</v>
          </cell>
          <cell r="K59">
            <v>14</v>
          </cell>
        </row>
        <row r="60">
          <cell r="F60">
            <v>26</v>
          </cell>
          <cell r="G60">
            <v>20</v>
          </cell>
          <cell r="H60">
            <v>17</v>
          </cell>
          <cell r="I60">
            <v>22</v>
          </cell>
          <cell r="J60">
            <v>31</v>
          </cell>
          <cell r="K60">
            <v>30</v>
          </cell>
        </row>
        <row r="61">
          <cell r="F61">
            <v>10</v>
          </cell>
          <cell r="G61">
            <v>29</v>
          </cell>
          <cell r="H61">
            <v>25</v>
          </cell>
          <cell r="I61">
            <v>16</v>
          </cell>
          <cell r="J61">
            <v>28</v>
          </cell>
          <cell r="K61">
            <v>31</v>
          </cell>
        </row>
      </sheetData>
      <sheetData sheetId="11" refreshError="1">
        <row r="7">
          <cell r="B7">
            <v>0.05</v>
          </cell>
        </row>
        <row r="8">
          <cell r="B8">
            <v>0.89999691224537837</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soap cluster 3"/>
      <sheetName val="soap cluster 4"/>
      <sheetName val="soap cluster 5"/>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s>
    <sheetDataSet>
      <sheetData sheetId="0"/>
      <sheetData sheetId="1"/>
      <sheetData sheetId="2"/>
      <sheetData sheetId="3"/>
      <sheetData sheetId="4"/>
      <sheetData sheetId="5"/>
      <sheetData sheetId="6"/>
      <sheetData sheetId="7"/>
      <sheetData sheetId="8"/>
      <sheetData sheetId="9">
        <row r="14">
          <cell r="F14">
            <v>170.98956688731698</v>
          </cell>
          <cell r="H14">
            <v>50.008073436424908</v>
          </cell>
        </row>
      </sheetData>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s>
    <sheetDataSet>
      <sheetData sheetId="0"/>
      <sheetData sheetId="1"/>
      <sheetData sheetId="2"/>
      <sheetData sheetId="3"/>
      <sheetData sheetId="4"/>
      <sheetData sheetId="5"/>
      <sheetData sheetId="6"/>
      <sheetData sheetId="7">
        <row r="3">
          <cell r="N3">
            <v>1</v>
          </cell>
          <cell r="O3">
            <v>1</v>
          </cell>
        </row>
        <row r="4">
          <cell r="N4">
            <v>2</v>
          </cell>
          <cell r="O4">
            <v>6</v>
          </cell>
        </row>
        <row r="5">
          <cell r="N5">
            <v>3</v>
          </cell>
          <cell r="O5">
            <v>11</v>
          </cell>
        </row>
        <row r="6">
          <cell r="N6">
            <v>4</v>
          </cell>
          <cell r="O6">
            <v>16</v>
          </cell>
        </row>
        <row r="11">
          <cell r="C11">
            <v>43073</v>
          </cell>
          <cell r="D11">
            <v>10</v>
          </cell>
          <cell r="E11">
            <v>37600</v>
          </cell>
        </row>
        <row r="12">
          <cell r="C12">
            <v>43086</v>
          </cell>
          <cell r="D12">
            <v>41</v>
          </cell>
          <cell r="E12">
            <v>37517</v>
          </cell>
        </row>
        <row r="13">
          <cell r="C13">
            <v>42996</v>
          </cell>
          <cell r="D13">
            <v>5</v>
          </cell>
          <cell r="E13">
            <v>37553</v>
          </cell>
        </row>
        <row r="14">
          <cell r="C14">
            <v>43085</v>
          </cell>
          <cell r="D14">
            <v>11</v>
          </cell>
          <cell r="E14">
            <v>37587</v>
          </cell>
        </row>
        <row r="15">
          <cell r="C15">
            <v>43053</v>
          </cell>
          <cell r="D15">
            <v>7</v>
          </cell>
          <cell r="E15">
            <v>37590</v>
          </cell>
        </row>
        <row r="16">
          <cell r="C16">
            <v>43076</v>
          </cell>
          <cell r="D16">
            <v>24</v>
          </cell>
          <cell r="E16">
            <v>37581</v>
          </cell>
        </row>
        <row r="17">
          <cell r="C17">
            <v>43032</v>
          </cell>
          <cell r="D17">
            <v>3</v>
          </cell>
          <cell r="E17">
            <v>3172</v>
          </cell>
        </row>
        <row r="18">
          <cell r="C18">
            <v>43069</v>
          </cell>
          <cell r="D18">
            <v>7</v>
          </cell>
          <cell r="E18">
            <v>1832</v>
          </cell>
        </row>
        <row r="19">
          <cell r="C19">
            <v>43060</v>
          </cell>
          <cell r="D19">
            <v>20</v>
          </cell>
          <cell r="E19">
            <v>37613</v>
          </cell>
        </row>
        <row r="20">
          <cell r="C20">
            <v>43013</v>
          </cell>
          <cell r="D20">
            <v>7</v>
          </cell>
          <cell r="E20">
            <v>1941</v>
          </cell>
        </row>
        <row r="21">
          <cell r="C21">
            <v>43092</v>
          </cell>
          <cell r="D21">
            <v>12</v>
          </cell>
          <cell r="E21">
            <v>14220</v>
          </cell>
        </row>
        <row r="22">
          <cell r="C22">
            <v>43063</v>
          </cell>
          <cell r="D22">
            <v>10</v>
          </cell>
          <cell r="E22">
            <v>10036</v>
          </cell>
        </row>
        <row r="23">
          <cell r="C23">
            <v>43070</v>
          </cell>
          <cell r="D23">
            <v>11</v>
          </cell>
          <cell r="E23">
            <v>30350</v>
          </cell>
        </row>
        <row r="24">
          <cell r="C24">
            <v>42936</v>
          </cell>
          <cell r="D24">
            <v>3</v>
          </cell>
          <cell r="E24">
            <v>3155</v>
          </cell>
        </row>
        <row r="25">
          <cell r="C25">
            <v>43093</v>
          </cell>
          <cell r="D25">
            <v>25</v>
          </cell>
          <cell r="E25">
            <v>37614</v>
          </cell>
        </row>
        <row r="26">
          <cell r="C26">
            <v>42989</v>
          </cell>
          <cell r="D26">
            <v>8</v>
          </cell>
          <cell r="E26">
            <v>5050</v>
          </cell>
        </row>
        <row r="27">
          <cell r="C27">
            <v>43046</v>
          </cell>
          <cell r="D27">
            <v>14</v>
          </cell>
          <cell r="E27">
            <v>8276</v>
          </cell>
        </row>
        <row r="28">
          <cell r="C28">
            <v>43084</v>
          </cell>
          <cell r="D28">
            <v>20</v>
          </cell>
          <cell r="E28">
            <v>37571</v>
          </cell>
        </row>
        <row r="29">
          <cell r="C29">
            <v>43032</v>
          </cell>
          <cell r="D29">
            <v>4</v>
          </cell>
          <cell r="E29">
            <v>1993</v>
          </cell>
        </row>
        <row r="30">
          <cell r="C30">
            <v>43083</v>
          </cell>
          <cell r="D30">
            <v>16</v>
          </cell>
          <cell r="E30">
            <v>37607</v>
          </cell>
        </row>
      </sheetData>
      <sheetData sheetId="8">
        <row r="7">
          <cell r="B7">
            <v>1</v>
          </cell>
        </row>
        <row r="27">
          <cell r="R27">
            <v>43030.222222222219</v>
          </cell>
          <cell r="S27">
            <v>7.5555555555555554</v>
          </cell>
          <cell r="T27">
            <v>5519.4444444444443</v>
          </cell>
          <cell r="U27">
            <v>6.6046891428687466</v>
          </cell>
          <cell r="V27">
            <v>7.0091256443505552</v>
          </cell>
          <cell r="W27">
            <v>7.116639155723238</v>
          </cell>
          <cell r="X27">
            <v>7.2442522450630662</v>
          </cell>
          <cell r="Z27">
            <v>43069</v>
          </cell>
          <cell r="AA27">
            <v>17.272727272727273</v>
          </cell>
          <cell r="AB27">
            <v>36925.727272727272</v>
          </cell>
          <cell r="AC27">
            <v>6.4201938136160921</v>
          </cell>
          <cell r="AD27">
            <v>6.8481716872421536</v>
          </cell>
          <cell r="AE27">
            <v>7.7987010708209024</v>
          </cell>
          <cell r="AF27">
            <v>6.4756557199007068</v>
          </cell>
          <cell r="AH27" t="e">
            <v>#DIV/0!</v>
          </cell>
          <cell r="AI27" t="e">
            <v>#DIV/0!</v>
          </cell>
          <cell r="AJ27" t="e">
            <v>#DIV/0!</v>
          </cell>
          <cell r="AK27" t="e">
            <v>#DIV/0!</v>
          </cell>
          <cell r="AL27" t="e">
            <v>#DIV/0!</v>
          </cell>
          <cell r="AM27" t="e">
            <v>#DIV/0!</v>
          </cell>
          <cell r="AN27" t="e">
            <v>#DIV/0!</v>
          </cell>
        </row>
        <row r="29">
          <cell r="B29">
            <v>1</v>
          </cell>
          <cell r="C29" t="str">
            <v>Fraser Distributors</v>
          </cell>
          <cell r="D29">
            <v>43069</v>
          </cell>
          <cell r="E29">
            <v>7</v>
          </cell>
          <cell r="F29">
            <v>1832</v>
          </cell>
          <cell r="G29">
            <v>4.7388254081855097</v>
          </cell>
          <cell r="H29">
            <v>4.6733421826995363</v>
          </cell>
          <cell r="I29">
            <v>7.0256381986670799</v>
          </cell>
          <cell r="J29">
            <v>4.1910765018189471</v>
          </cell>
        </row>
        <row r="30">
          <cell r="B30">
            <v>16</v>
          </cell>
          <cell r="C30" t="str">
            <v>Dollarwise Corp</v>
          </cell>
          <cell r="D30">
            <v>43053</v>
          </cell>
          <cell r="E30">
            <v>7</v>
          </cell>
          <cell r="F30">
            <v>37590</v>
          </cell>
          <cell r="G30">
            <v>4.5964874397234921</v>
          </cell>
          <cell r="H30">
            <v>4.5268592636652016</v>
          </cell>
          <cell r="I30">
            <v>5.52203981805566</v>
          </cell>
          <cell r="J30">
            <v>9.6267552801836231</v>
          </cell>
        </row>
        <row r="31">
          <cell r="B31">
            <v>1</v>
          </cell>
          <cell r="C31" t="str">
            <v>Fraser Distributors</v>
          </cell>
          <cell r="D31">
            <v>43069</v>
          </cell>
          <cell r="E31">
            <v>7</v>
          </cell>
          <cell r="F31">
            <v>1832</v>
          </cell>
          <cell r="G31">
            <v>4.7388254081855097</v>
          </cell>
          <cell r="H31">
            <v>4.6733421826995363</v>
          </cell>
          <cell r="I31">
            <v>7.0256381986670799</v>
          </cell>
          <cell r="J31">
            <v>4.1910765018189471</v>
          </cell>
        </row>
      </sheetData>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ations"/>
      <sheetName val="Secondary Axis"/>
      <sheetName val="Sales Tracker"/>
      <sheetName val="Labels and Tables"/>
      <sheetName val="Picture"/>
      <sheetName val="Dynamic Labels"/>
      <sheetName val="Sparklines"/>
      <sheetName val="Survey PivotChart"/>
      <sheetName val="Survey Data"/>
      <sheetName val="End of Month Dashboard"/>
      <sheetName val="Checkboxes"/>
      <sheetName val="Housing starts"/>
      <sheetName val="New data"/>
      <sheetName val="Secondary_Axis"/>
      <sheetName val="Sales_Tracker"/>
      <sheetName val="Labels_and_Tables"/>
      <sheetName val="Dynamic_Labels"/>
      <sheetName val="Survey_PivotChart"/>
      <sheetName val="Survey_Data"/>
      <sheetName val="End_of_Month_Dashboard"/>
      <sheetName val="Housing_starts"/>
      <sheetName val="New_data"/>
    </sheetNames>
    <sheetDataSet>
      <sheetData sheetId="0" refreshError="1"/>
      <sheetData sheetId="1" refreshError="1"/>
      <sheetData sheetId="2" refreshError="1"/>
      <sheetData sheetId="3" refreshError="1"/>
      <sheetData sheetId="4" refreshError="1"/>
      <sheetData sheetId="5">
        <row r="1">
          <cell r="D1">
            <v>2000</v>
          </cell>
        </row>
        <row r="2">
          <cell r="D2">
            <v>1000</v>
          </cell>
        </row>
        <row r="3">
          <cell r="D3">
            <v>0.2</v>
          </cell>
        </row>
      </sheetData>
      <sheetData sheetId="6" refreshError="1"/>
      <sheetData sheetId="7" refreshError="1"/>
      <sheetData sheetId="8" refreshError="1"/>
      <sheetData sheetId="9" refreshError="1"/>
      <sheetData sheetId="10">
        <row r="5">
          <cell r="O5" t="str">
            <v>Chocolate</v>
          </cell>
        </row>
      </sheetData>
      <sheetData sheetId="11" refreshError="1"/>
      <sheetData sheetId="12" refreshError="1"/>
      <sheetData sheetId="13"/>
      <sheetData sheetId="14"/>
      <sheetData sheetId="15"/>
      <sheetData sheetId="16"/>
      <sheetData sheetId="17"/>
      <sheetData sheetId="18"/>
      <sheetData sheetId="19"/>
      <sheetData sheetId="20"/>
      <sheetData sheetId="2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ar"/>
      <sheetName val="gomp"/>
      <sheetName val="Sheet2"/>
      <sheetName val="Sheet3"/>
    </sheetNames>
    <sheetDataSet>
      <sheetData sheetId="0"/>
      <sheetData sheetId="1" refreshError="1">
        <row r="3">
          <cell r="H3">
            <v>1.1629672421955843</v>
          </cell>
          <cell r="I3">
            <v>0.17121084148475277</v>
          </cell>
          <cell r="J3">
            <v>2.8234669886546802</v>
          </cell>
        </row>
      </sheetData>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Answer - Soap A &amp; B"/>
      <sheetName val="Regression Answer A"/>
      <sheetName val="Regression Answer Both"/>
      <sheetName val="Regression Answer - Soap A &amp; B"/>
      <sheetName val="soap cluster 3"/>
      <sheetName val="soap cluster 4"/>
      <sheetName val="soap cluster 5"/>
      <sheetName val="Multiple Products"/>
      <sheetName val="Product A &amp; B"/>
      <sheetName val="Conjoint"/>
      <sheetName val="Conjoint (answer)"/>
      <sheetName val="Trend &amp; Seasonality"/>
      <sheetName val="Trend &amp; Seasonality (Additive4)"/>
      <sheetName val="Trend &amp; Seasonality (Additive8)"/>
      <sheetName val="Trend &amp; Seasonality (Multipl4)"/>
      <sheetName val="Trend &amp; Seasonality (Multipl8)"/>
      <sheetName val="Single (Ans) &amp; Multiple Pricing"/>
      <sheetName val="Single &amp; Multiple Pricing (Ans)"/>
      <sheetName val="S-curve"/>
      <sheetName val="S-curve Gompertz"/>
      <sheetName val="S-curve Pearl"/>
      <sheetName val="RFM"/>
      <sheetName val="RFM (2)"/>
      <sheetName val="Cluster"/>
      <sheetName val="Cluster (Answer)"/>
      <sheetName val="MDS"/>
      <sheetName val="MDS (VSRank)"/>
      <sheetName val="MDS (VRank)"/>
      <sheetName val="MDS (zscore)"/>
      <sheetName val="MDS (Sum)"/>
      <sheetName val="CLV"/>
      <sheetName val="CLV Answer"/>
      <sheetName val="Forecast"/>
      <sheetName val="Point Sheet"/>
      <sheetName val="Single &amp; Multiple Pricing (New)"/>
    </sheetNames>
    <sheetDataSet>
      <sheetData sheetId="0"/>
      <sheetData sheetId="1">
        <row r="2">
          <cell r="B2" t="str">
            <v>Soap A</v>
          </cell>
          <cell r="C2">
            <v>2</v>
          </cell>
          <cell r="D2">
            <v>9</v>
          </cell>
        </row>
        <row r="3">
          <cell r="B3" t="str">
            <v>Soap A</v>
          </cell>
          <cell r="C3">
            <v>2</v>
          </cell>
          <cell r="D3">
            <v>10</v>
          </cell>
        </row>
        <row r="4">
          <cell r="B4" t="str">
            <v>Soap A</v>
          </cell>
          <cell r="C4">
            <v>2</v>
          </cell>
          <cell r="D4">
            <v>3</v>
          </cell>
        </row>
        <row r="5">
          <cell r="B5" t="str">
            <v>Soap A</v>
          </cell>
          <cell r="C5">
            <v>2</v>
          </cell>
          <cell r="D5">
            <v>0</v>
          </cell>
        </row>
        <row r="6">
          <cell r="B6" t="str">
            <v>Soap A</v>
          </cell>
          <cell r="C6">
            <v>2</v>
          </cell>
          <cell r="D6">
            <v>10</v>
          </cell>
        </row>
        <row r="7">
          <cell r="B7" t="str">
            <v>Soap A</v>
          </cell>
          <cell r="C7">
            <v>2</v>
          </cell>
          <cell r="D7">
            <v>2</v>
          </cell>
        </row>
        <row r="8">
          <cell r="B8" t="str">
            <v>Soap A</v>
          </cell>
          <cell r="C8">
            <v>2</v>
          </cell>
          <cell r="D8">
            <v>2</v>
          </cell>
        </row>
        <row r="9">
          <cell r="B9" t="str">
            <v>Soap A</v>
          </cell>
          <cell r="C9">
            <v>2</v>
          </cell>
          <cell r="D9">
            <v>2</v>
          </cell>
        </row>
        <row r="10">
          <cell r="B10" t="str">
            <v>Soap A</v>
          </cell>
          <cell r="C10">
            <v>2</v>
          </cell>
          <cell r="D10">
            <v>2</v>
          </cell>
        </row>
        <row r="11">
          <cell r="B11" t="str">
            <v>Soap A</v>
          </cell>
          <cell r="C11">
            <v>2</v>
          </cell>
          <cell r="D11">
            <v>4</v>
          </cell>
        </row>
        <row r="12">
          <cell r="B12" t="str">
            <v>Soap A</v>
          </cell>
          <cell r="C12">
            <v>2</v>
          </cell>
          <cell r="D12">
            <v>6</v>
          </cell>
        </row>
        <row r="13">
          <cell r="B13" t="str">
            <v>Soap A</v>
          </cell>
          <cell r="C13">
            <v>2</v>
          </cell>
          <cell r="D13">
            <v>5</v>
          </cell>
        </row>
        <row r="14">
          <cell r="B14" t="str">
            <v>Soap A</v>
          </cell>
          <cell r="C14">
            <v>2</v>
          </cell>
          <cell r="D14">
            <v>2</v>
          </cell>
        </row>
        <row r="15">
          <cell r="B15" t="str">
            <v>Soap A</v>
          </cell>
          <cell r="C15">
            <v>2</v>
          </cell>
          <cell r="D15">
            <v>5</v>
          </cell>
        </row>
        <row r="16">
          <cell r="B16" t="str">
            <v>Soap A</v>
          </cell>
          <cell r="C16">
            <v>2</v>
          </cell>
          <cell r="D16">
            <v>9</v>
          </cell>
        </row>
        <row r="17">
          <cell r="B17" t="str">
            <v>Soap A</v>
          </cell>
          <cell r="C17">
            <v>2</v>
          </cell>
          <cell r="D17">
            <v>5</v>
          </cell>
        </row>
        <row r="18">
          <cell r="B18" t="str">
            <v>Soap A</v>
          </cell>
          <cell r="C18">
            <v>2</v>
          </cell>
          <cell r="D18">
            <v>10</v>
          </cell>
        </row>
        <row r="19">
          <cell r="B19" t="str">
            <v>Soap A</v>
          </cell>
          <cell r="C19">
            <v>2</v>
          </cell>
          <cell r="D19">
            <v>6</v>
          </cell>
        </row>
        <row r="20">
          <cell r="B20" t="str">
            <v>Soap A</v>
          </cell>
          <cell r="C20">
            <v>2</v>
          </cell>
          <cell r="D20">
            <v>10</v>
          </cell>
        </row>
        <row r="21">
          <cell r="B21" t="str">
            <v>Soap A</v>
          </cell>
          <cell r="C21">
            <v>2</v>
          </cell>
          <cell r="D21">
            <v>2</v>
          </cell>
        </row>
        <row r="22">
          <cell r="B22" t="str">
            <v>Soap A</v>
          </cell>
          <cell r="C22">
            <v>2</v>
          </cell>
          <cell r="D22">
            <v>9</v>
          </cell>
        </row>
        <row r="23">
          <cell r="B23" t="str">
            <v>Soap A</v>
          </cell>
          <cell r="C23">
            <v>2</v>
          </cell>
          <cell r="D23">
            <v>9</v>
          </cell>
        </row>
        <row r="24">
          <cell r="B24" t="str">
            <v>Soap A</v>
          </cell>
          <cell r="C24">
            <v>2</v>
          </cell>
          <cell r="D24">
            <v>0</v>
          </cell>
        </row>
        <row r="25">
          <cell r="B25" t="str">
            <v>Soap A</v>
          </cell>
          <cell r="C25">
            <v>2</v>
          </cell>
          <cell r="D25">
            <v>2</v>
          </cell>
        </row>
        <row r="26">
          <cell r="B26" t="str">
            <v>Soap A</v>
          </cell>
          <cell r="C26">
            <v>2</v>
          </cell>
          <cell r="D26">
            <v>2</v>
          </cell>
        </row>
        <row r="27">
          <cell r="B27" t="str">
            <v>Soap A</v>
          </cell>
          <cell r="C27">
            <v>2</v>
          </cell>
          <cell r="D27">
            <v>10</v>
          </cell>
        </row>
        <row r="28">
          <cell r="B28" t="str">
            <v>Soap A</v>
          </cell>
          <cell r="C28">
            <v>2</v>
          </cell>
          <cell r="D28">
            <v>4</v>
          </cell>
        </row>
        <row r="29">
          <cell r="B29" t="str">
            <v>Soap A</v>
          </cell>
          <cell r="C29">
            <v>2</v>
          </cell>
          <cell r="D29">
            <v>9</v>
          </cell>
        </row>
        <row r="30">
          <cell r="B30" t="str">
            <v>Soap A</v>
          </cell>
          <cell r="C30">
            <v>2</v>
          </cell>
          <cell r="D30">
            <v>8</v>
          </cell>
        </row>
        <row r="31">
          <cell r="B31" t="str">
            <v>Soap A</v>
          </cell>
          <cell r="C31">
            <v>2.2999999999999998</v>
          </cell>
          <cell r="D31">
            <v>4</v>
          </cell>
        </row>
        <row r="32">
          <cell r="B32" t="str">
            <v>Soap A</v>
          </cell>
          <cell r="C32">
            <v>2.2999999999999998</v>
          </cell>
          <cell r="D32">
            <v>7</v>
          </cell>
        </row>
        <row r="33">
          <cell r="B33" t="str">
            <v>Soap A</v>
          </cell>
          <cell r="C33">
            <v>2.2999999999999998</v>
          </cell>
          <cell r="D33">
            <v>3</v>
          </cell>
        </row>
        <row r="34">
          <cell r="B34" t="str">
            <v>Soap A</v>
          </cell>
          <cell r="C34">
            <v>2.2999999999999998</v>
          </cell>
          <cell r="D34">
            <v>7</v>
          </cell>
        </row>
        <row r="35">
          <cell r="B35" t="str">
            <v>Soap A</v>
          </cell>
          <cell r="C35">
            <v>2.2999999999999998</v>
          </cell>
          <cell r="D35">
            <v>1</v>
          </cell>
        </row>
        <row r="36">
          <cell r="B36" t="str">
            <v>Soap A</v>
          </cell>
          <cell r="C36">
            <v>2.2999999999999998</v>
          </cell>
          <cell r="D36">
            <v>4</v>
          </cell>
        </row>
        <row r="37">
          <cell r="B37" t="str">
            <v>Soap A</v>
          </cell>
          <cell r="C37">
            <v>2.2999999999999998</v>
          </cell>
          <cell r="D37">
            <v>6</v>
          </cell>
        </row>
        <row r="38">
          <cell r="B38" t="str">
            <v>Soap A</v>
          </cell>
          <cell r="C38">
            <v>2.2999999999999998</v>
          </cell>
          <cell r="D38">
            <v>6</v>
          </cell>
        </row>
        <row r="39">
          <cell r="B39" t="str">
            <v>Soap A</v>
          </cell>
          <cell r="C39">
            <v>2.2999999999999998</v>
          </cell>
          <cell r="D39">
            <v>0</v>
          </cell>
        </row>
        <row r="40">
          <cell r="B40" t="str">
            <v>Soap A</v>
          </cell>
          <cell r="C40">
            <v>2.2999999999999998</v>
          </cell>
          <cell r="D40">
            <v>6</v>
          </cell>
        </row>
        <row r="41">
          <cell r="B41" t="str">
            <v>Soap A</v>
          </cell>
          <cell r="C41">
            <v>2.2999999999999998</v>
          </cell>
          <cell r="D41">
            <v>1</v>
          </cell>
        </row>
        <row r="42">
          <cell r="B42" t="str">
            <v>Soap A</v>
          </cell>
          <cell r="C42">
            <v>2.2999999999999998</v>
          </cell>
          <cell r="D42">
            <v>2</v>
          </cell>
        </row>
        <row r="43">
          <cell r="B43" t="str">
            <v>Soap A</v>
          </cell>
          <cell r="C43">
            <v>2.2999999999999998</v>
          </cell>
          <cell r="D43">
            <v>7</v>
          </cell>
        </row>
        <row r="44">
          <cell r="B44" t="str">
            <v>Soap A</v>
          </cell>
          <cell r="C44">
            <v>2.2999999999999998</v>
          </cell>
          <cell r="D44">
            <v>0</v>
          </cell>
        </row>
        <row r="45">
          <cell r="B45" t="str">
            <v>Soap A</v>
          </cell>
          <cell r="C45">
            <v>2.2999999999999998</v>
          </cell>
          <cell r="D45">
            <v>6</v>
          </cell>
        </row>
        <row r="46">
          <cell r="B46" t="str">
            <v>Soap A</v>
          </cell>
          <cell r="C46">
            <v>2.2999999999999998</v>
          </cell>
          <cell r="D46">
            <v>0</v>
          </cell>
        </row>
        <row r="47">
          <cell r="B47" t="str">
            <v>Soap A</v>
          </cell>
          <cell r="C47">
            <v>2.2999999999999998</v>
          </cell>
          <cell r="D47">
            <v>6</v>
          </cell>
        </row>
        <row r="48">
          <cell r="B48" t="str">
            <v>Soap A</v>
          </cell>
          <cell r="C48">
            <v>2.2999999999999998</v>
          </cell>
          <cell r="D48">
            <v>2</v>
          </cell>
        </row>
        <row r="49">
          <cell r="B49" t="str">
            <v>Soap A</v>
          </cell>
          <cell r="C49">
            <v>2.2999999999999998</v>
          </cell>
          <cell r="D49">
            <v>1</v>
          </cell>
        </row>
        <row r="50">
          <cell r="B50" t="str">
            <v>Soap A</v>
          </cell>
          <cell r="C50">
            <v>2.2999999999999998</v>
          </cell>
          <cell r="D50">
            <v>7</v>
          </cell>
        </row>
        <row r="51">
          <cell r="B51" t="str">
            <v>Soap A</v>
          </cell>
          <cell r="C51">
            <v>2.2999999999999998</v>
          </cell>
          <cell r="D51">
            <v>2</v>
          </cell>
        </row>
        <row r="52">
          <cell r="B52" t="str">
            <v>Soap A</v>
          </cell>
          <cell r="C52">
            <v>2.2999999999999998</v>
          </cell>
          <cell r="D52">
            <v>1</v>
          </cell>
        </row>
        <row r="53">
          <cell r="B53" t="str">
            <v>Soap A</v>
          </cell>
          <cell r="C53">
            <v>2.2999999999999998</v>
          </cell>
          <cell r="D53">
            <v>3</v>
          </cell>
        </row>
        <row r="54">
          <cell r="B54" t="str">
            <v>Soap A</v>
          </cell>
          <cell r="C54">
            <v>2.2999999999999998</v>
          </cell>
          <cell r="D54">
            <v>7</v>
          </cell>
        </row>
        <row r="55">
          <cell r="B55" t="str">
            <v>Soap A</v>
          </cell>
          <cell r="C55">
            <v>2.2999999999999998</v>
          </cell>
          <cell r="D55">
            <v>5</v>
          </cell>
        </row>
        <row r="56">
          <cell r="B56" t="str">
            <v>Soap A</v>
          </cell>
          <cell r="C56">
            <v>2.2999999999999998</v>
          </cell>
          <cell r="D56">
            <v>7</v>
          </cell>
        </row>
        <row r="57">
          <cell r="B57" t="str">
            <v>Soap A</v>
          </cell>
          <cell r="C57">
            <v>2.2999999999999998</v>
          </cell>
          <cell r="D57">
            <v>1</v>
          </cell>
        </row>
        <row r="58">
          <cell r="B58" t="str">
            <v>Soap A</v>
          </cell>
          <cell r="C58">
            <v>2.2999999999999998</v>
          </cell>
          <cell r="D58">
            <v>2</v>
          </cell>
        </row>
        <row r="59">
          <cell r="B59" t="str">
            <v>Soap A</v>
          </cell>
          <cell r="C59">
            <v>2.2999999999999998</v>
          </cell>
          <cell r="D59">
            <v>4</v>
          </cell>
        </row>
        <row r="60">
          <cell r="B60" t="str">
            <v>Soap A</v>
          </cell>
          <cell r="C60">
            <v>2.2999999999999998</v>
          </cell>
          <cell r="D60">
            <v>6</v>
          </cell>
        </row>
        <row r="61">
          <cell r="B61" t="str">
            <v>Soap B</v>
          </cell>
          <cell r="C61">
            <v>2.5</v>
          </cell>
          <cell r="D61">
            <v>8</v>
          </cell>
        </row>
        <row r="62">
          <cell r="B62" t="str">
            <v>Soap B</v>
          </cell>
          <cell r="C62">
            <v>2.5</v>
          </cell>
          <cell r="D62">
            <v>9</v>
          </cell>
        </row>
        <row r="63">
          <cell r="B63" t="str">
            <v>Soap B</v>
          </cell>
          <cell r="C63">
            <v>2.5</v>
          </cell>
          <cell r="D63">
            <v>6</v>
          </cell>
        </row>
        <row r="64">
          <cell r="B64" t="str">
            <v>Soap B</v>
          </cell>
          <cell r="C64">
            <v>2.5</v>
          </cell>
          <cell r="D64">
            <v>6</v>
          </cell>
        </row>
        <row r="65">
          <cell r="B65" t="str">
            <v>Soap B</v>
          </cell>
          <cell r="C65">
            <v>2.5</v>
          </cell>
          <cell r="D65">
            <v>9</v>
          </cell>
        </row>
        <row r="66">
          <cell r="B66" t="str">
            <v>Soap B</v>
          </cell>
          <cell r="C66">
            <v>2.5</v>
          </cell>
          <cell r="D66">
            <v>6</v>
          </cell>
        </row>
        <row r="67">
          <cell r="B67" t="str">
            <v>Soap B</v>
          </cell>
          <cell r="C67">
            <v>2.5</v>
          </cell>
          <cell r="D67">
            <v>9</v>
          </cell>
        </row>
        <row r="68">
          <cell r="B68" t="str">
            <v>Soap B</v>
          </cell>
          <cell r="C68">
            <v>2.5</v>
          </cell>
          <cell r="D68">
            <v>6</v>
          </cell>
        </row>
        <row r="69">
          <cell r="B69" t="str">
            <v>Soap B</v>
          </cell>
          <cell r="C69">
            <v>2.5</v>
          </cell>
          <cell r="D69">
            <v>6</v>
          </cell>
        </row>
        <row r="70">
          <cell r="B70" t="str">
            <v>Soap B</v>
          </cell>
          <cell r="C70">
            <v>2.5</v>
          </cell>
          <cell r="D70">
            <v>9</v>
          </cell>
        </row>
        <row r="71">
          <cell r="B71" t="str">
            <v>Soap B</v>
          </cell>
          <cell r="C71">
            <v>2.5</v>
          </cell>
          <cell r="D71">
            <v>7</v>
          </cell>
        </row>
        <row r="72">
          <cell r="B72" t="str">
            <v>Soap B</v>
          </cell>
          <cell r="C72">
            <v>2.5</v>
          </cell>
          <cell r="D72">
            <v>9</v>
          </cell>
        </row>
        <row r="73">
          <cell r="B73" t="str">
            <v>Soap B</v>
          </cell>
          <cell r="C73">
            <v>2.5</v>
          </cell>
          <cell r="D73">
            <v>7</v>
          </cell>
        </row>
        <row r="74">
          <cell r="B74" t="str">
            <v>Soap B</v>
          </cell>
          <cell r="C74">
            <v>2.5</v>
          </cell>
          <cell r="D74">
            <v>6</v>
          </cell>
        </row>
        <row r="75">
          <cell r="B75" t="str">
            <v>Soap B</v>
          </cell>
          <cell r="C75">
            <v>2.5</v>
          </cell>
          <cell r="D75">
            <v>9</v>
          </cell>
        </row>
        <row r="76">
          <cell r="B76" t="str">
            <v>Soap B</v>
          </cell>
          <cell r="C76">
            <v>2.5</v>
          </cell>
          <cell r="D76">
            <v>9</v>
          </cell>
        </row>
        <row r="77">
          <cell r="B77" t="str">
            <v>Soap B</v>
          </cell>
          <cell r="C77">
            <v>2.5</v>
          </cell>
          <cell r="D77">
            <v>7</v>
          </cell>
        </row>
        <row r="78">
          <cell r="B78" t="str">
            <v>Soap B</v>
          </cell>
          <cell r="C78">
            <v>2.5</v>
          </cell>
          <cell r="D78">
            <v>8</v>
          </cell>
        </row>
        <row r="79">
          <cell r="B79" t="str">
            <v>Soap B</v>
          </cell>
          <cell r="C79">
            <v>2.5</v>
          </cell>
          <cell r="D79">
            <v>9</v>
          </cell>
        </row>
        <row r="80">
          <cell r="B80" t="str">
            <v>Soap B</v>
          </cell>
          <cell r="C80">
            <v>3</v>
          </cell>
          <cell r="D80">
            <v>6</v>
          </cell>
        </row>
        <row r="81">
          <cell r="B81" t="str">
            <v>Soap B</v>
          </cell>
          <cell r="C81">
            <v>3</v>
          </cell>
          <cell r="D81">
            <v>4</v>
          </cell>
        </row>
        <row r="82">
          <cell r="B82" t="str">
            <v>Soap B</v>
          </cell>
          <cell r="C82">
            <v>3</v>
          </cell>
          <cell r="D82">
            <v>6</v>
          </cell>
        </row>
        <row r="83">
          <cell r="B83" t="str">
            <v>Soap B</v>
          </cell>
          <cell r="C83">
            <v>3</v>
          </cell>
          <cell r="D83">
            <v>4</v>
          </cell>
        </row>
        <row r="84">
          <cell r="B84" t="str">
            <v>Soap B</v>
          </cell>
          <cell r="C84">
            <v>3</v>
          </cell>
          <cell r="D84">
            <v>7</v>
          </cell>
        </row>
        <row r="85">
          <cell r="B85" t="str">
            <v>Soap B</v>
          </cell>
          <cell r="C85">
            <v>3</v>
          </cell>
          <cell r="D85">
            <v>4</v>
          </cell>
        </row>
        <row r="86">
          <cell r="B86" t="str">
            <v>Soap B</v>
          </cell>
          <cell r="C86">
            <v>3</v>
          </cell>
          <cell r="D86">
            <v>4</v>
          </cell>
        </row>
        <row r="87">
          <cell r="B87" t="str">
            <v>Soap B</v>
          </cell>
          <cell r="C87">
            <v>3</v>
          </cell>
          <cell r="D87">
            <v>6</v>
          </cell>
        </row>
        <row r="88">
          <cell r="B88" t="str">
            <v>Soap B</v>
          </cell>
          <cell r="C88">
            <v>3</v>
          </cell>
          <cell r="D88">
            <v>6</v>
          </cell>
        </row>
        <row r="89">
          <cell r="B89" t="str">
            <v>Soap B</v>
          </cell>
          <cell r="C89">
            <v>3</v>
          </cell>
          <cell r="D89">
            <v>6</v>
          </cell>
        </row>
        <row r="90">
          <cell r="B90" t="str">
            <v>Soap B</v>
          </cell>
          <cell r="C90">
            <v>3</v>
          </cell>
          <cell r="D90">
            <v>5</v>
          </cell>
        </row>
        <row r="91">
          <cell r="B91" t="str">
            <v>Soap B</v>
          </cell>
          <cell r="C91">
            <v>3</v>
          </cell>
          <cell r="D91">
            <v>5</v>
          </cell>
        </row>
        <row r="92">
          <cell r="B92" t="str">
            <v>Soap B</v>
          </cell>
          <cell r="C92">
            <v>3</v>
          </cell>
          <cell r="D92">
            <v>6</v>
          </cell>
        </row>
        <row r="93">
          <cell r="B93" t="str">
            <v>Soap B</v>
          </cell>
          <cell r="C93">
            <v>3</v>
          </cell>
          <cell r="D93">
            <v>7</v>
          </cell>
        </row>
        <row r="94">
          <cell r="B94" t="str">
            <v>Soap B</v>
          </cell>
          <cell r="C94">
            <v>3</v>
          </cell>
          <cell r="D94">
            <v>7</v>
          </cell>
        </row>
        <row r="95">
          <cell r="B95" t="str">
            <v>Soap B</v>
          </cell>
          <cell r="C95">
            <v>3</v>
          </cell>
          <cell r="D95">
            <v>5</v>
          </cell>
        </row>
        <row r="96">
          <cell r="B96" t="str">
            <v>Soap B</v>
          </cell>
          <cell r="C96">
            <v>3</v>
          </cell>
          <cell r="D96">
            <v>6</v>
          </cell>
        </row>
        <row r="97">
          <cell r="B97" t="str">
            <v>Soap B</v>
          </cell>
          <cell r="C97">
            <v>3</v>
          </cell>
          <cell r="D97">
            <v>7</v>
          </cell>
        </row>
        <row r="98">
          <cell r="B98" t="str">
            <v>Soap B</v>
          </cell>
          <cell r="C98">
            <v>3</v>
          </cell>
          <cell r="D98">
            <v>7</v>
          </cell>
        </row>
        <row r="99">
          <cell r="B99" t="str">
            <v>Soap B</v>
          </cell>
          <cell r="C99">
            <v>3</v>
          </cell>
          <cell r="D99">
            <v>7</v>
          </cell>
        </row>
        <row r="100">
          <cell r="B100" t="str">
            <v>Soap B</v>
          </cell>
          <cell r="C100">
            <v>3.5</v>
          </cell>
          <cell r="D100">
            <v>1</v>
          </cell>
        </row>
        <row r="101">
          <cell r="B101" t="str">
            <v>Soap B</v>
          </cell>
          <cell r="C101">
            <v>3.5</v>
          </cell>
          <cell r="D101">
            <v>1</v>
          </cell>
        </row>
        <row r="102">
          <cell r="B102" t="str">
            <v>Soap B</v>
          </cell>
          <cell r="C102">
            <v>3.5</v>
          </cell>
          <cell r="D102">
            <v>2</v>
          </cell>
        </row>
        <row r="103">
          <cell r="B103" t="str">
            <v>Soap B</v>
          </cell>
          <cell r="C103">
            <v>3.5</v>
          </cell>
          <cell r="D103">
            <v>1</v>
          </cell>
        </row>
        <row r="104">
          <cell r="B104" t="str">
            <v>Soap B</v>
          </cell>
          <cell r="C104">
            <v>3.5</v>
          </cell>
          <cell r="D104">
            <v>2</v>
          </cell>
        </row>
        <row r="105">
          <cell r="B105" t="str">
            <v>Soap B</v>
          </cell>
          <cell r="C105">
            <v>3.5</v>
          </cell>
          <cell r="D105">
            <v>1</v>
          </cell>
        </row>
        <row r="106">
          <cell r="B106" t="str">
            <v>Soap B</v>
          </cell>
          <cell r="C106">
            <v>3.5</v>
          </cell>
          <cell r="D106">
            <v>2</v>
          </cell>
        </row>
        <row r="107">
          <cell r="B107" t="str">
            <v>Soap B</v>
          </cell>
          <cell r="C107">
            <v>3.5</v>
          </cell>
          <cell r="D107">
            <v>1</v>
          </cell>
        </row>
        <row r="108">
          <cell r="B108" t="str">
            <v>Soap B</v>
          </cell>
          <cell r="C108">
            <v>3.5</v>
          </cell>
          <cell r="D108">
            <v>2</v>
          </cell>
        </row>
        <row r="109">
          <cell r="B109" t="str">
            <v>Soap B</v>
          </cell>
          <cell r="C109">
            <v>3.5</v>
          </cell>
          <cell r="D109">
            <v>1</v>
          </cell>
        </row>
        <row r="110">
          <cell r="B110" t="str">
            <v>Soap B</v>
          </cell>
          <cell r="C110">
            <v>3.5</v>
          </cell>
          <cell r="D110">
            <v>1</v>
          </cell>
        </row>
        <row r="111">
          <cell r="B111" t="str">
            <v>Soap B</v>
          </cell>
          <cell r="C111">
            <v>3.5</v>
          </cell>
          <cell r="D111">
            <v>2</v>
          </cell>
        </row>
        <row r="112">
          <cell r="B112" t="str">
            <v>Soap B</v>
          </cell>
          <cell r="C112">
            <v>3.5</v>
          </cell>
          <cell r="D112">
            <v>1</v>
          </cell>
        </row>
        <row r="113">
          <cell r="B113" t="str">
            <v>Soap B</v>
          </cell>
          <cell r="C113">
            <v>3.5</v>
          </cell>
          <cell r="D113">
            <v>2</v>
          </cell>
        </row>
        <row r="114">
          <cell r="B114" t="str">
            <v>Soap B</v>
          </cell>
          <cell r="C114">
            <v>3.5</v>
          </cell>
          <cell r="D114">
            <v>1</v>
          </cell>
        </row>
        <row r="115">
          <cell r="B115" t="str">
            <v>Soap B</v>
          </cell>
          <cell r="C115">
            <v>3.5</v>
          </cell>
          <cell r="D115">
            <v>1</v>
          </cell>
        </row>
        <row r="116">
          <cell r="B116" t="str">
            <v>Soap B</v>
          </cell>
          <cell r="C116">
            <v>3.5</v>
          </cell>
          <cell r="D116">
            <v>1</v>
          </cell>
        </row>
        <row r="117">
          <cell r="B117" t="str">
            <v>Soap B</v>
          </cell>
          <cell r="C117">
            <v>3.5</v>
          </cell>
          <cell r="D117">
            <v>2</v>
          </cell>
        </row>
        <row r="118">
          <cell r="B118" t="str">
            <v>Soap B</v>
          </cell>
          <cell r="C118">
            <v>3.5</v>
          </cell>
          <cell r="D118">
            <v>1</v>
          </cell>
        </row>
        <row r="119">
          <cell r="B119" t="str">
            <v>Soap B</v>
          </cell>
          <cell r="C119">
            <v>3.5</v>
          </cell>
          <cell r="D119">
            <v>2</v>
          </cell>
        </row>
      </sheetData>
      <sheetData sheetId="2"/>
      <sheetData sheetId="3"/>
      <sheetData sheetId="4"/>
      <sheetData sheetId="5">
        <row r="15">
          <cell r="A15">
            <v>1</v>
          </cell>
          <cell r="B15" t="str">
            <v>Soap A</v>
          </cell>
          <cell r="C15">
            <v>2</v>
          </cell>
          <cell r="D15">
            <v>9</v>
          </cell>
          <cell r="E15">
            <v>1</v>
          </cell>
          <cell r="F15">
            <v>5</v>
          </cell>
          <cell r="G15">
            <v>5</v>
          </cell>
          <cell r="H15">
            <v>2</v>
          </cell>
          <cell r="I15">
            <v>0.49614331465336126</v>
          </cell>
          <cell r="J15">
            <v>0.59271310737004301</v>
          </cell>
          <cell r="K15">
            <v>-1.0614362781511688</v>
          </cell>
          <cell r="P15">
            <v>1</v>
          </cell>
          <cell r="Q15">
            <v>9</v>
          </cell>
        </row>
        <row r="16">
          <cell r="A16">
            <v>2</v>
          </cell>
          <cell r="B16" t="str">
            <v>Soap A</v>
          </cell>
          <cell r="C16">
            <v>2</v>
          </cell>
          <cell r="D16">
            <v>10</v>
          </cell>
          <cell r="E16">
            <v>1</v>
          </cell>
          <cell r="F16">
            <v>7</v>
          </cell>
          <cell r="G16">
            <v>5</v>
          </cell>
          <cell r="H16">
            <v>1</v>
          </cell>
          <cell r="I16">
            <v>1.5510065782406881</v>
          </cell>
          <cell r="J16">
            <v>0.59271310737004301</v>
          </cell>
          <cell r="K16">
            <v>-1.6131961055601465</v>
          </cell>
          <cell r="P16">
            <v>1</v>
          </cell>
          <cell r="Q16">
            <v>10</v>
          </cell>
        </row>
        <row r="17">
          <cell r="A17">
            <v>3</v>
          </cell>
          <cell r="B17" t="str">
            <v>Soap A</v>
          </cell>
          <cell r="C17">
            <v>2.2999999999999998</v>
          </cell>
          <cell r="D17">
            <v>4</v>
          </cell>
          <cell r="E17">
            <v>1</v>
          </cell>
          <cell r="F17">
            <v>3</v>
          </cell>
          <cell r="G17">
            <v>5</v>
          </cell>
          <cell r="H17">
            <v>4</v>
          </cell>
          <cell r="I17">
            <v>-0.5587199489339657</v>
          </cell>
          <cell r="J17">
            <v>0.59271310737004301</v>
          </cell>
          <cell r="K17">
            <v>4.2083376666786312E-2</v>
          </cell>
          <cell r="P17">
            <v>2</v>
          </cell>
          <cell r="Q17">
            <v>5.1999999999999993</v>
          </cell>
        </row>
        <row r="18">
          <cell r="A18">
            <v>4</v>
          </cell>
          <cell r="B18" t="str">
            <v>Soap A</v>
          </cell>
          <cell r="C18">
            <v>2</v>
          </cell>
          <cell r="D18">
            <v>3</v>
          </cell>
          <cell r="E18">
            <v>1</v>
          </cell>
          <cell r="F18">
            <v>4</v>
          </cell>
          <cell r="G18">
            <v>5</v>
          </cell>
          <cell r="H18">
            <v>4</v>
          </cell>
          <cell r="I18">
            <v>-3.1288317140302224E-2</v>
          </cell>
          <cell r="J18">
            <v>0.59271310737004301</v>
          </cell>
          <cell r="K18">
            <v>4.2083376666786312E-2</v>
          </cell>
          <cell r="P18">
            <v>2</v>
          </cell>
          <cell r="Q18">
            <v>3</v>
          </cell>
        </row>
        <row r="19">
          <cell r="A19">
            <v>5</v>
          </cell>
          <cell r="B19" t="str">
            <v>Soap A</v>
          </cell>
          <cell r="C19">
            <v>2.2999999999999998</v>
          </cell>
          <cell r="D19">
            <v>7</v>
          </cell>
          <cell r="E19">
            <v>1</v>
          </cell>
          <cell r="F19">
            <v>6</v>
          </cell>
          <cell r="G19">
            <v>5</v>
          </cell>
          <cell r="H19">
            <v>2</v>
          </cell>
          <cell r="I19">
            <v>1.0235749464470247</v>
          </cell>
          <cell r="J19">
            <v>0.59271310737004301</v>
          </cell>
          <cell r="K19">
            <v>-1.0614362781511688</v>
          </cell>
          <cell r="P19">
            <v>1</v>
          </cell>
          <cell r="Q19">
            <v>9.0999999999999979</v>
          </cell>
        </row>
        <row r="20">
          <cell r="A20">
            <v>6</v>
          </cell>
          <cell r="B20" t="str">
            <v>Soap A</v>
          </cell>
          <cell r="C20">
            <v>2.2999999999999998</v>
          </cell>
          <cell r="D20">
            <v>3</v>
          </cell>
          <cell r="E20">
            <v>1</v>
          </cell>
          <cell r="F20">
            <v>5</v>
          </cell>
          <cell r="G20">
            <v>6</v>
          </cell>
          <cell r="H20">
            <v>5</v>
          </cell>
          <cell r="I20">
            <v>0.49614331465336126</v>
          </cell>
          <cell r="J20">
            <v>1.1185788718036149</v>
          </cell>
          <cell r="K20">
            <v>0.59384320407576385</v>
          </cell>
          <cell r="P20">
            <v>2</v>
          </cell>
          <cell r="Q20">
            <v>3.8999999999999995</v>
          </cell>
        </row>
        <row r="21">
          <cell r="A21">
            <v>7</v>
          </cell>
          <cell r="B21" t="str">
            <v>Soap A</v>
          </cell>
          <cell r="C21">
            <v>2</v>
          </cell>
          <cell r="D21">
            <v>0</v>
          </cell>
          <cell r="E21">
            <v>1</v>
          </cell>
          <cell r="F21">
            <v>3</v>
          </cell>
          <cell r="G21">
            <v>1</v>
          </cell>
          <cell r="H21">
            <v>7</v>
          </cell>
          <cell r="I21">
            <v>-0.5587199489339657</v>
          </cell>
          <cell r="J21">
            <v>-1.5107499503642448</v>
          </cell>
          <cell r="K21">
            <v>1.6973628588937191</v>
          </cell>
          <cell r="P21">
            <v>3</v>
          </cell>
          <cell r="Q21">
            <v>0</v>
          </cell>
        </row>
        <row r="22">
          <cell r="A22">
            <v>8</v>
          </cell>
          <cell r="B22" t="str">
            <v>Soap B</v>
          </cell>
          <cell r="C22">
            <v>2.5</v>
          </cell>
          <cell r="D22">
            <v>8</v>
          </cell>
          <cell r="E22">
            <v>1.5</v>
          </cell>
          <cell r="F22">
            <v>6</v>
          </cell>
          <cell r="G22">
            <v>3</v>
          </cell>
          <cell r="H22">
            <v>2</v>
          </cell>
          <cell r="I22">
            <v>1.0235749464470247</v>
          </cell>
          <cell r="J22">
            <v>-0.45901842149710087</v>
          </cell>
          <cell r="K22">
            <v>-1.0614362781511688</v>
          </cell>
          <cell r="P22">
            <v>1</v>
          </cell>
          <cell r="Q22">
            <v>8</v>
          </cell>
        </row>
        <row r="23">
          <cell r="A23">
            <v>9</v>
          </cell>
          <cell r="B23" t="str">
            <v>Soap A</v>
          </cell>
          <cell r="C23">
            <v>2.2999999999999998</v>
          </cell>
          <cell r="D23">
            <v>7</v>
          </cell>
          <cell r="E23">
            <v>1</v>
          </cell>
          <cell r="F23">
            <v>7</v>
          </cell>
          <cell r="G23">
            <v>5</v>
          </cell>
          <cell r="H23">
            <v>3</v>
          </cell>
          <cell r="I23">
            <v>1.5510065782406881</v>
          </cell>
          <cell r="J23">
            <v>0.59271310737004301</v>
          </cell>
          <cell r="K23">
            <v>-0.50967645074219126</v>
          </cell>
          <cell r="P23">
            <v>1</v>
          </cell>
          <cell r="Q23">
            <v>9.0999999999999979</v>
          </cell>
        </row>
        <row r="24">
          <cell r="A24">
            <v>10</v>
          </cell>
          <cell r="B24" t="str">
            <v>Soap B</v>
          </cell>
          <cell r="C24">
            <v>2.5</v>
          </cell>
          <cell r="D24">
            <v>9</v>
          </cell>
          <cell r="E24">
            <v>1.5</v>
          </cell>
          <cell r="F24">
            <v>5</v>
          </cell>
          <cell r="G24">
            <v>3</v>
          </cell>
          <cell r="H24">
            <v>2</v>
          </cell>
          <cell r="I24">
            <v>0.49614331465336126</v>
          </cell>
          <cell r="J24">
            <v>-0.45901842149710087</v>
          </cell>
          <cell r="K24">
            <v>-1.0614362781511688</v>
          </cell>
          <cell r="P24">
            <v>1</v>
          </cell>
          <cell r="Q24">
            <v>9</v>
          </cell>
        </row>
        <row r="25">
          <cell r="A25">
            <v>11</v>
          </cell>
          <cell r="B25" t="str">
            <v>Soap B</v>
          </cell>
          <cell r="C25">
            <v>3</v>
          </cell>
          <cell r="D25">
            <v>6</v>
          </cell>
          <cell r="E25">
            <v>1.5</v>
          </cell>
          <cell r="F25">
            <v>5</v>
          </cell>
          <cell r="G25">
            <v>6</v>
          </cell>
          <cell r="H25">
            <v>4</v>
          </cell>
          <cell r="I25">
            <v>0.49614331465336126</v>
          </cell>
          <cell r="J25">
            <v>1.1185788718036149</v>
          </cell>
          <cell r="K25">
            <v>4.2083376666786312E-2</v>
          </cell>
          <cell r="P25">
            <v>2</v>
          </cell>
          <cell r="Q25">
            <v>9</v>
          </cell>
        </row>
        <row r="26">
          <cell r="A26">
            <v>12</v>
          </cell>
          <cell r="B26" t="str">
            <v>Soap B</v>
          </cell>
          <cell r="C26">
            <v>2.5</v>
          </cell>
          <cell r="D26">
            <v>6</v>
          </cell>
          <cell r="E26">
            <v>1.5</v>
          </cell>
          <cell r="F26">
            <v>3</v>
          </cell>
          <cell r="G26">
            <v>7</v>
          </cell>
          <cell r="H26">
            <v>5</v>
          </cell>
          <cell r="I26">
            <v>-0.5587199489339657</v>
          </cell>
          <cell r="J26">
            <v>1.644444636237187</v>
          </cell>
          <cell r="K26">
            <v>0.59384320407576385</v>
          </cell>
          <cell r="P26">
            <v>2</v>
          </cell>
          <cell r="Q26">
            <v>6</v>
          </cell>
        </row>
        <row r="27">
          <cell r="A27">
            <v>13</v>
          </cell>
          <cell r="B27" t="str">
            <v>Soap A</v>
          </cell>
          <cell r="C27">
            <v>2.2999999999999998</v>
          </cell>
          <cell r="D27">
            <v>1</v>
          </cell>
          <cell r="E27">
            <v>1</v>
          </cell>
          <cell r="F27">
            <v>2</v>
          </cell>
          <cell r="G27">
            <v>3</v>
          </cell>
          <cell r="H27">
            <v>7</v>
          </cell>
          <cell r="I27">
            <v>-1.0861515807276292</v>
          </cell>
          <cell r="J27">
            <v>-0.45901842149710087</v>
          </cell>
          <cell r="K27">
            <v>1.6973628588937191</v>
          </cell>
          <cell r="P27">
            <v>3</v>
          </cell>
          <cell r="Q27">
            <v>1.2999999999999998</v>
          </cell>
        </row>
        <row r="28">
          <cell r="A28">
            <v>14</v>
          </cell>
          <cell r="B28" t="str">
            <v>Soap B</v>
          </cell>
          <cell r="C28">
            <v>3</v>
          </cell>
          <cell r="D28">
            <v>4</v>
          </cell>
          <cell r="E28">
            <v>1.5</v>
          </cell>
          <cell r="F28">
            <v>3</v>
          </cell>
          <cell r="G28">
            <v>7</v>
          </cell>
          <cell r="H28">
            <v>5</v>
          </cell>
          <cell r="I28">
            <v>-0.5587199489339657</v>
          </cell>
          <cell r="J28">
            <v>1.644444636237187</v>
          </cell>
          <cell r="K28">
            <v>0.59384320407576385</v>
          </cell>
          <cell r="P28">
            <v>2</v>
          </cell>
          <cell r="Q28">
            <v>6</v>
          </cell>
        </row>
        <row r="29">
          <cell r="A29">
            <v>15</v>
          </cell>
          <cell r="B29" t="str">
            <v>Soap B</v>
          </cell>
          <cell r="C29">
            <v>2.5</v>
          </cell>
          <cell r="D29">
            <v>6</v>
          </cell>
          <cell r="E29">
            <v>1.5</v>
          </cell>
          <cell r="F29">
            <v>5</v>
          </cell>
          <cell r="G29">
            <v>6</v>
          </cell>
          <cell r="H29">
            <v>5</v>
          </cell>
          <cell r="I29">
            <v>0.49614331465336126</v>
          </cell>
          <cell r="J29">
            <v>1.1185788718036149</v>
          </cell>
          <cell r="K29">
            <v>0.59384320407576385</v>
          </cell>
          <cell r="P29">
            <v>2</v>
          </cell>
          <cell r="Q29">
            <v>6</v>
          </cell>
        </row>
        <row r="30">
          <cell r="A30">
            <v>16</v>
          </cell>
          <cell r="B30" t="str">
            <v>Soap A</v>
          </cell>
          <cell r="C30">
            <v>2</v>
          </cell>
          <cell r="D30">
            <v>10</v>
          </cell>
          <cell r="E30">
            <v>1</v>
          </cell>
          <cell r="F30">
            <v>5</v>
          </cell>
          <cell r="G30">
            <v>5</v>
          </cell>
          <cell r="H30">
            <v>1</v>
          </cell>
          <cell r="I30">
            <v>0.49614331465336126</v>
          </cell>
          <cell r="J30">
            <v>0.59271310737004301</v>
          </cell>
          <cell r="K30">
            <v>-1.6131961055601465</v>
          </cell>
          <cell r="P30">
            <v>1</v>
          </cell>
          <cell r="Q30">
            <v>10</v>
          </cell>
        </row>
        <row r="31">
          <cell r="A31">
            <v>17</v>
          </cell>
          <cell r="B31" t="str">
            <v>Soap A</v>
          </cell>
          <cell r="C31">
            <v>2.2999999999999998</v>
          </cell>
          <cell r="D31">
            <v>4</v>
          </cell>
          <cell r="E31">
            <v>1</v>
          </cell>
          <cell r="F31">
            <v>4</v>
          </cell>
          <cell r="G31">
            <v>7</v>
          </cell>
          <cell r="H31">
            <v>5</v>
          </cell>
          <cell r="I31">
            <v>-3.1288317140302224E-2</v>
          </cell>
          <cell r="J31">
            <v>1.644444636237187</v>
          </cell>
          <cell r="K31">
            <v>0.59384320407576385</v>
          </cell>
          <cell r="P31">
            <v>2</v>
          </cell>
          <cell r="Q31">
            <v>5.1999999999999993</v>
          </cell>
        </row>
        <row r="32">
          <cell r="A32">
            <v>18</v>
          </cell>
          <cell r="B32" t="str">
            <v>Soap A</v>
          </cell>
          <cell r="C32">
            <v>2.2999999999999998</v>
          </cell>
          <cell r="D32">
            <v>6</v>
          </cell>
          <cell r="E32">
            <v>1</v>
          </cell>
          <cell r="F32">
            <v>4</v>
          </cell>
          <cell r="G32">
            <v>6</v>
          </cell>
          <cell r="H32">
            <v>5</v>
          </cell>
          <cell r="I32">
            <v>-3.1288317140302224E-2</v>
          </cell>
          <cell r="J32">
            <v>1.1185788718036149</v>
          </cell>
          <cell r="K32">
            <v>0.59384320407576385</v>
          </cell>
          <cell r="P32">
            <v>2</v>
          </cell>
          <cell r="Q32">
            <v>7.7999999999999989</v>
          </cell>
        </row>
        <row r="33">
          <cell r="A33">
            <v>19</v>
          </cell>
          <cell r="B33" t="str">
            <v>Soap A</v>
          </cell>
          <cell r="C33">
            <v>2.2999999999999998</v>
          </cell>
          <cell r="D33">
            <v>6</v>
          </cell>
          <cell r="E33">
            <v>1</v>
          </cell>
          <cell r="F33">
            <v>3</v>
          </cell>
          <cell r="G33">
            <v>5</v>
          </cell>
          <cell r="H33">
            <v>3</v>
          </cell>
          <cell r="I33">
            <v>-0.5587199489339657</v>
          </cell>
          <cell r="J33">
            <v>0.59271310737004301</v>
          </cell>
          <cell r="K33">
            <v>-0.50967645074219126</v>
          </cell>
          <cell r="P33">
            <v>2</v>
          </cell>
          <cell r="Q33">
            <v>7.7999999999999989</v>
          </cell>
        </row>
        <row r="34">
          <cell r="A34">
            <v>20</v>
          </cell>
          <cell r="B34" t="str">
            <v>Soap B</v>
          </cell>
          <cell r="C34">
            <v>3.5</v>
          </cell>
          <cell r="D34">
            <v>1</v>
          </cell>
          <cell r="E34">
            <v>1.5</v>
          </cell>
          <cell r="F34">
            <v>1</v>
          </cell>
          <cell r="G34">
            <v>1</v>
          </cell>
          <cell r="H34">
            <v>7</v>
          </cell>
          <cell r="I34">
            <v>-1.6135832125212926</v>
          </cell>
          <cell r="J34">
            <v>-1.5107499503642448</v>
          </cell>
          <cell r="K34">
            <v>1.6973628588937191</v>
          </cell>
          <cell r="P34">
            <v>3</v>
          </cell>
          <cell r="Q34">
            <v>2</v>
          </cell>
        </row>
        <row r="35">
          <cell r="A35">
            <v>21</v>
          </cell>
          <cell r="B35" t="str">
            <v>Soap A</v>
          </cell>
          <cell r="C35">
            <v>2.2999999999999998</v>
          </cell>
          <cell r="D35">
            <v>0</v>
          </cell>
          <cell r="E35">
            <v>1</v>
          </cell>
          <cell r="F35">
            <v>3</v>
          </cell>
          <cell r="G35">
            <v>1</v>
          </cell>
          <cell r="H35">
            <v>5</v>
          </cell>
          <cell r="I35">
            <v>-0.5587199489339657</v>
          </cell>
          <cell r="J35">
            <v>-1.5107499503642448</v>
          </cell>
          <cell r="K35">
            <v>0.59384320407576385</v>
          </cell>
          <cell r="P35">
            <v>3</v>
          </cell>
          <cell r="Q35">
            <v>0</v>
          </cell>
        </row>
        <row r="36">
          <cell r="A36">
            <v>22</v>
          </cell>
          <cell r="B36" t="str">
            <v>Soap B</v>
          </cell>
          <cell r="C36">
            <v>3</v>
          </cell>
          <cell r="D36">
            <v>6</v>
          </cell>
          <cell r="E36">
            <v>1.5</v>
          </cell>
          <cell r="F36">
            <v>4</v>
          </cell>
          <cell r="G36">
            <v>7</v>
          </cell>
          <cell r="H36">
            <v>3</v>
          </cell>
          <cell r="I36">
            <v>-3.1288317140302224E-2</v>
          </cell>
          <cell r="J36">
            <v>1.644444636237187</v>
          </cell>
          <cell r="K36">
            <v>-0.50967645074219126</v>
          </cell>
          <cell r="P36">
            <v>2</v>
          </cell>
          <cell r="Q36">
            <v>9</v>
          </cell>
        </row>
        <row r="37">
          <cell r="A37">
            <v>23</v>
          </cell>
          <cell r="B37" t="str">
            <v>Soap B</v>
          </cell>
          <cell r="C37">
            <v>3</v>
          </cell>
          <cell r="D37">
            <v>4</v>
          </cell>
          <cell r="E37">
            <v>1.5</v>
          </cell>
          <cell r="F37">
            <v>5</v>
          </cell>
          <cell r="G37">
            <v>5</v>
          </cell>
          <cell r="H37">
            <v>4</v>
          </cell>
          <cell r="I37">
            <v>0.49614331465336126</v>
          </cell>
          <cell r="J37">
            <v>0.59271310737004301</v>
          </cell>
          <cell r="K37">
            <v>4.2083376666786312E-2</v>
          </cell>
          <cell r="P37">
            <v>2</v>
          </cell>
          <cell r="Q37">
            <v>6</v>
          </cell>
        </row>
        <row r="38">
          <cell r="A38">
            <v>24</v>
          </cell>
          <cell r="B38" t="str">
            <v>Soap A</v>
          </cell>
          <cell r="C38">
            <v>2.2999999999999998</v>
          </cell>
          <cell r="D38">
            <v>6</v>
          </cell>
          <cell r="E38">
            <v>1</v>
          </cell>
          <cell r="F38">
            <v>6</v>
          </cell>
          <cell r="G38">
            <v>3</v>
          </cell>
          <cell r="H38">
            <v>3</v>
          </cell>
          <cell r="I38">
            <v>1.0235749464470247</v>
          </cell>
          <cell r="J38">
            <v>-0.45901842149710087</v>
          </cell>
          <cell r="K38">
            <v>-0.50967645074219126</v>
          </cell>
          <cell r="P38">
            <v>1</v>
          </cell>
          <cell r="Q38">
            <v>7.7999999999999989</v>
          </cell>
        </row>
        <row r="39">
          <cell r="A39">
            <v>25</v>
          </cell>
          <cell r="B39" t="str">
            <v>Soap A</v>
          </cell>
          <cell r="C39">
            <v>2</v>
          </cell>
          <cell r="D39">
            <v>2</v>
          </cell>
          <cell r="E39">
            <v>1</v>
          </cell>
          <cell r="F39">
            <v>3</v>
          </cell>
          <cell r="G39">
            <v>2</v>
          </cell>
          <cell r="H39">
            <v>5</v>
          </cell>
          <cell r="I39">
            <v>-0.5587199489339657</v>
          </cell>
          <cell r="J39">
            <v>-0.98488418593067284</v>
          </cell>
          <cell r="K39">
            <v>0.59384320407576385</v>
          </cell>
          <cell r="P39">
            <v>3</v>
          </cell>
          <cell r="Q39">
            <v>2</v>
          </cell>
        </row>
        <row r="40">
          <cell r="A40">
            <v>26</v>
          </cell>
          <cell r="B40" t="str">
            <v>Soap A</v>
          </cell>
          <cell r="C40">
            <v>2</v>
          </cell>
          <cell r="D40">
            <v>2</v>
          </cell>
          <cell r="E40">
            <v>1</v>
          </cell>
          <cell r="F40">
            <v>3</v>
          </cell>
          <cell r="G40">
            <v>2</v>
          </cell>
          <cell r="H40">
            <v>5</v>
          </cell>
          <cell r="I40">
            <v>-0.5587199489339657</v>
          </cell>
          <cell r="J40">
            <v>-0.98488418593067284</v>
          </cell>
          <cell r="K40">
            <v>0.59384320407576385</v>
          </cell>
          <cell r="P40">
            <v>3</v>
          </cell>
          <cell r="Q40">
            <v>2</v>
          </cell>
        </row>
        <row r="41">
          <cell r="A41">
            <v>27</v>
          </cell>
          <cell r="B41" t="str">
            <v>Soap B</v>
          </cell>
          <cell r="C41">
            <v>3.5</v>
          </cell>
          <cell r="D41">
            <v>1</v>
          </cell>
          <cell r="E41">
            <v>1.5</v>
          </cell>
          <cell r="F41">
            <v>2</v>
          </cell>
          <cell r="G41">
            <v>2</v>
          </cell>
          <cell r="H41">
            <v>7</v>
          </cell>
          <cell r="I41">
            <v>-1.0861515807276292</v>
          </cell>
          <cell r="J41">
            <v>-0.98488418593067284</v>
          </cell>
          <cell r="K41">
            <v>1.6973628588937191</v>
          </cell>
          <cell r="P41">
            <v>3</v>
          </cell>
          <cell r="Q41">
            <v>2</v>
          </cell>
        </row>
        <row r="42">
          <cell r="A42">
            <v>28</v>
          </cell>
          <cell r="B42" t="str">
            <v>Soap A</v>
          </cell>
          <cell r="C42">
            <v>2</v>
          </cell>
          <cell r="D42">
            <v>2</v>
          </cell>
          <cell r="E42">
            <v>1</v>
          </cell>
          <cell r="F42">
            <v>5</v>
          </cell>
          <cell r="G42">
            <v>5</v>
          </cell>
          <cell r="H42">
            <v>3</v>
          </cell>
          <cell r="I42">
            <v>0.49614331465336126</v>
          </cell>
          <cell r="J42">
            <v>0.59271310737004301</v>
          </cell>
          <cell r="K42">
            <v>-0.50967645074219126</v>
          </cell>
          <cell r="P42">
            <v>1</v>
          </cell>
          <cell r="Q42">
            <v>2</v>
          </cell>
        </row>
        <row r="43">
          <cell r="A43">
            <v>29</v>
          </cell>
          <cell r="B43" t="str">
            <v>Soap A</v>
          </cell>
          <cell r="C43">
            <v>2.2999999999999998</v>
          </cell>
          <cell r="D43">
            <v>1</v>
          </cell>
          <cell r="E43">
            <v>1</v>
          </cell>
          <cell r="F43">
            <v>3</v>
          </cell>
          <cell r="G43">
            <v>2</v>
          </cell>
          <cell r="H43">
            <v>7</v>
          </cell>
          <cell r="I43">
            <v>-0.5587199489339657</v>
          </cell>
          <cell r="J43">
            <v>-0.98488418593067284</v>
          </cell>
          <cell r="K43">
            <v>1.6973628588937191</v>
          </cell>
          <cell r="P43">
            <v>3</v>
          </cell>
          <cell r="Q43">
            <v>1.2999999999999998</v>
          </cell>
        </row>
        <row r="44">
          <cell r="A44">
            <v>30</v>
          </cell>
          <cell r="B44" t="str">
            <v>Soap A</v>
          </cell>
          <cell r="C44">
            <v>2</v>
          </cell>
          <cell r="D44">
            <v>2</v>
          </cell>
          <cell r="E44">
            <v>1</v>
          </cell>
          <cell r="F44">
            <v>2</v>
          </cell>
          <cell r="G44">
            <v>1</v>
          </cell>
          <cell r="H44">
            <v>5</v>
          </cell>
          <cell r="I44">
            <v>-1.0861515807276292</v>
          </cell>
          <cell r="J44">
            <v>-1.5107499503642448</v>
          </cell>
          <cell r="K44">
            <v>0.59384320407576385</v>
          </cell>
          <cell r="P44">
            <v>3</v>
          </cell>
          <cell r="Q44">
            <v>2</v>
          </cell>
        </row>
        <row r="45">
          <cell r="A45">
            <v>31</v>
          </cell>
          <cell r="B45" t="str">
            <v>Soap A</v>
          </cell>
          <cell r="C45">
            <v>2</v>
          </cell>
          <cell r="D45">
            <v>4</v>
          </cell>
          <cell r="E45">
            <v>1</v>
          </cell>
          <cell r="F45">
            <v>5</v>
          </cell>
          <cell r="G45">
            <v>5</v>
          </cell>
          <cell r="H45">
            <v>4</v>
          </cell>
          <cell r="I45">
            <v>0.49614331465336126</v>
          </cell>
          <cell r="J45">
            <v>0.59271310737004301</v>
          </cell>
          <cell r="K45">
            <v>4.2083376666786312E-2</v>
          </cell>
          <cell r="P45">
            <v>2</v>
          </cell>
          <cell r="Q45">
            <v>4</v>
          </cell>
        </row>
        <row r="46">
          <cell r="A46">
            <v>32</v>
          </cell>
          <cell r="B46" t="str">
            <v>Soap B</v>
          </cell>
          <cell r="C46">
            <v>3</v>
          </cell>
          <cell r="D46">
            <v>7</v>
          </cell>
          <cell r="E46">
            <v>1.5</v>
          </cell>
          <cell r="F46">
            <v>6</v>
          </cell>
          <cell r="G46">
            <v>3</v>
          </cell>
          <cell r="H46">
            <v>2</v>
          </cell>
          <cell r="I46">
            <v>1.0235749464470247</v>
          </cell>
          <cell r="J46">
            <v>-0.45901842149710087</v>
          </cell>
          <cell r="K46">
            <v>-1.0614362781511688</v>
          </cell>
          <cell r="P46">
            <v>1</v>
          </cell>
          <cell r="Q46">
            <v>10.5</v>
          </cell>
        </row>
        <row r="47">
          <cell r="A47">
            <v>33</v>
          </cell>
          <cell r="B47" t="str">
            <v>Soap B</v>
          </cell>
          <cell r="C47">
            <v>3</v>
          </cell>
          <cell r="D47">
            <v>4</v>
          </cell>
          <cell r="E47">
            <v>1.5</v>
          </cell>
          <cell r="F47">
            <v>5</v>
          </cell>
          <cell r="G47">
            <v>7</v>
          </cell>
          <cell r="H47">
            <v>5</v>
          </cell>
          <cell r="I47">
            <v>0.49614331465336126</v>
          </cell>
          <cell r="J47">
            <v>1.644444636237187</v>
          </cell>
          <cell r="K47">
            <v>0.59384320407576385</v>
          </cell>
          <cell r="P47">
            <v>2</v>
          </cell>
          <cell r="Q47">
            <v>6</v>
          </cell>
        </row>
        <row r="48">
          <cell r="A48">
            <v>34</v>
          </cell>
          <cell r="B48" t="str">
            <v>Soap A</v>
          </cell>
          <cell r="C48">
            <v>2</v>
          </cell>
          <cell r="D48">
            <v>6</v>
          </cell>
          <cell r="E48">
            <v>1</v>
          </cell>
          <cell r="F48">
            <v>5</v>
          </cell>
          <cell r="G48">
            <v>4</v>
          </cell>
          <cell r="H48">
            <v>1</v>
          </cell>
          <cell r="I48">
            <v>0.49614331465336126</v>
          </cell>
          <cell r="J48">
            <v>6.6847342936471071E-2</v>
          </cell>
          <cell r="K48">
            <v>-1.6131961055601465</v>
          </cell>
          <cell r="P48">
            <v>1</v>
          </cell>
          <cell r="Q48">
            <v>6</v>
          </cell>
        </row>
        <row r="49">
          <cell r="A49">
            <v>35</v>
          </cell>
          <cell r="B49" t="str">
            <v>Soap B</v>
          </cell>
          <cell r="C49">
            <v>3.5</v>
          </cell>
          <cell r="D49">
            <v>2</v>
          </cell>
          <cell r="E49">
            <v>1.5</v>
          </cell>
          <cell r="F49">
            <v>2</v>
          </cell>
          <cell r="G49">
            <v>2</v>
          </cell>
          <cell r="H49">
            <v>7</v>
          </cell>
          <cell r="I49">
            <v>-1.0861515807276292</v>
          </cell>
          <cell r="J49">
            <v>-0.98488418593067284</v>
          </cell>
          <cell r="K49">
            <v>1.6973628588937191</v>
          </cell>
          <cell r="P49">
            <v>3</v>
          </cell>
          <cell r="Q49">
            <v>4</v>
          </cell>
        </row>
        <row r="50">
          <cell r="A50">
            <v>36</v>
          </cell>
          <cell r="B50" t="str">
            <v>Soap B</v>
          </cell>
          <cell r="C50">
            <v>3.5</v>
          </cell>
          <cell r="D50">
            <v>1</v>
          </cell>
          <cell r="E50">
            <v>1.5</v>
          </cell>
          <cell r="F50">
            <v>1</v>
          </cell>
          <cell r="G50">
            <v>1</v>
          </cell>
          <cell r="H50">
            <v>6</v>
          </cell>
          <cell r="I50">
            <v>-1.6135832125212926</v>
          </cell>
          <cell r="J50">
            <v>-1.5107499503642448</v>
          </cell>
          <cell r="K50">
            <v>1.1456030314847414</v>
          </cell>
          <cell r="P50">
            <v>3</v>
          </cell>
          <cell r="Q50">
            <v>2</v>
          </cell>
        </row>
        <row r="51">
          <cell r="A51">
            <v>37</v>
          </cell>
          <cell r="B51" t="str">
            <v>Soap B</v>
          </cell>
          <cell r="C51">
            <v>3.5</v>
          </cell>
          <cell r="D51">
            <v>2</v>
          </cell>
          <cell r="E51">
            <v>1.5</v>
          </cell>
          <cell r="F51">
            <v>3</v>
          </cell>
          <cell r="G51">
            <v>1</v>
          </cell>
          <cell r="H51">
            <v>5</v>
          </cell>
          <cell r="I51">
            <v>-0.5587199489339657</v>
          </cell>
          <cell r="J51">
            <v>-1.5107499503642448</v>
          </cell>
          <cell r="K51">
            <v>0.59384320407576385</v>
          </cell>
          <cell r="P51">
            <v>3</v>
          </cell>
          <cell r="Q51">
            <v>4</v>
          </cell>
        </row>
        <row r="52">
          <cell r="A52">
            <v>38</v>
          </cell>
          <cell r="B52" t="str">
            <v>Soap A</v>
          </cell>
          <cell r="C52">
            <v>2</v>
          </cell>
          <cell r="D52">
            <v>5</v>
          </cell>
          <cell r="E52">
            <v>1</v>
          </cell>
          <cell r="F52">
            <v>3</v>
          </cell>
          <cell r="G52">
            <v>6</v>
          </cell>
          <cell r="H52">
            <v>3</v>
          </cell>
          <cell r="I52">
            <v>-0.5587199489339657</v>
          </cell>
          <cell r="J52">
            <v>1.1185788718036149</v>
          </cell>
          <cell r="K52">
            <v>-0.50967645074219126</v>
          </cell>
          <cell r="P52">
            <v>2</v>
          </cell>
          <cell r="Q52">
            <v>5</v>
          </cell>
        </row>
        <row r="53">
          <cell r="A53">
            <v>39</v>
          </cell>
          <cell r="B53" t="str">
            <v>Soap A</v>
          </cell>
          <cell r="C53">
            <v>2</v>
          </cell>
          <cell r="D53">
            <v>2</v>
          </cell>
          <cell r="E53">
            <v>1</v>
          </cell>
          <cell r="F53">
            <v>5</v>
          </cell>
          <cell r="G53">
            <v>7</v>
          </cell>
          <cell r="H53">
            <v>5</v>
          </cell>
          <cell r="I53">
            <v>0.49614331465336126</v>
          </cell>
          <cell r="J53">
            <v>1.644444636237187</v>
          </cell>
          <cell r="K53">
            <v>0.59384320407576385</v>
          </cell>
          <cell r="P53">
            <v>2</v>
          </cell>
          <cell r="Q53">
            <v>2</v>
          </cell>
        </row>
        <row r="54">
          <cell r="A54">
            <v>40</v>
          </cell>
          <cell r="B54" t="str">
            <v>Soap A</v>
          </cell>
          <cell r="C54">
            <v>2.2999999999999998</v>
          </cell>
          <cell r="D54">
            <v>2</v>
          </cell>
          <cell r="E54">
            <v>1</v>
          </cell>
          <cell r="F54">
            <v>3</v>
          </cell>
          <cell r="G54">
            <v>2</v>
          </cell>
          <cell r="H54">
            <v>6</v>
          </cell>
          <cell r="I54">
            <v>-0.5587199489339657</v>
          </cell>
          <cell r="J54">
            <v>-0.98488418593067284</v>
          </cell>
          <cell r="K54">
            <v>1.1456030314847414</v>
          </cell>
          <cell r="P54">
            <v>3</v>
          </cell>
          <cell r="Q54">
            <v>2.5999999999999996</v>
          </cell>
        </row>
        <row r="55">
          <cell r="A55">
            <v>41</v>
          </cell>
          <cell r="B55" t="str">
            <v>Soap A</v>
          </cell>
          <cell r="C55">
            <v>2.2999999999999998</v>
          </cell>
          <cell r="D55">
            <v>7</v>
          </cell>
          <cell r="E55">
            <v>1</v>
          </cell>
          <cell r="F55">
            <v>5</v>
          </cell>
          <cell r="G55">
            <v>3</v>
          </cell>
          <cell r="H55">
            <v>3</v>
          </cell>
          <cell r="I55">
            <v>0.49614331465336126</v>
          </cell>
          <cell r="J55">
            <v>-0.45901842149710087</v>
          </cell>
          <cell r="K55">
            <v>-0.50967645074219126</v>
          </cell>
          <cell r="P55">
            <v>1</v>
          </cell>
          <cell r="Q55">
            <v>9.0999999999999979</v>
          </cell>
        </row>
        <row r="56">
          <cell r="A56">
            <v>42</v>
          </cell>
          <cell r="B56" t="str">
            <v>Soap A</v>
          </cell>
          <cell r="C56">
            <v>2</v>
          </cell>
          <cell r="D56">
            <v>5</v>
          </cell>
          <cell r="E56">
            <v>1</v>
          </cell>
          <cell r="F56">
            <v>3</v>
          </cell>
          <cell r="G56">
            <v>6</v>
          </cell>
          <cell r="H56">
            <v>3</v>
          </cell>
          <cell r="I56">
            <v>-0.5587199489339657</v>
          </cell>
          <cell r="J56">
            <v>1.1185788718036149</v>
          </cell>
          <cell r="K56">
            <v>-0.50967645074219126</v>
          </cell>
          <cell r="P56">
            <v>2</v>
          </cell>
          <cell r="Q56">
            <v>5</v>
          </cell>
        </row>
        <row r="57">
          <cell r="A57">
            <v>43</v>
          </cell>
          <cell r="B57" t="str">
            <v>Soap B</v>
          </cell>
          <cell r="C57">
            <v>3</v>
          </cell>
          <cell r="D57">
            <v>4</v>
          </cell>
          <cell r="E57">
            <v>1.5</v>
          </cell>
          <cell r="F57">
            <v>4</v>
          </cell>
          <cell r="G57">
            <v>6</v>
          </cell>
          <cell r="H57">
            <v>5</v>
          </cell>
          <cell r="I57">
            <v>-3.1288317140302224E-2</v>
          </cell>
          <cell r="J57">
            <v>1.1185788718036149</v>
          </cell>
          <cell r="K57">
            <v>0.59384320407576385</v>
          </cell>
          <cell r="P57">
            <v>2</v>
          </cell>
          <cell r="Q57">
            <v>6</v>
          </cell>
        </row>
        <row r="58">
          <cell r="A58">
            <v>44</v>
          </cell>
          <cell r="B58" t="str">
            <v>Soap A</v>
          </cell>
          <cell r="C58">
            <v>2</v>
          </cell>
          <cell r="D58">
            <v>9</v>
          </cell>
          <cell r="E58">
            <v>1</v>
          </cell>
          <cell r="F58">
            <v>7</v>
          </cell>
          <cell r="G58">
            <v>4</v>
          </cell>
          <cell r="H58">
            <v>2</v>
          </cell>
          <cell r="I58">
            <v>1.5510065782406881</v>
          </cell>
          <cell r="J58">
            <v>6.6847342936471071E-2</v>
          </cell>
          <cell r="K58">
            <v>-1.0614362781511688</v>
          </cell>
          <cell r="P58">
            <v>1</v>
          </cell>
          <cell r="Q58">
            <v>9</v>
          </cell>
        </row>
        <row r="59">
          <cell r="A59">
            <v>45</v>
          </cell>
          <cell r="B59" t="str">
            <v>Soap B</v>
          </cell>
          <cell r="C59">
            <v>3</v>
          </cell>
          <cell r="D59">
            <v>6</v>
          </cell>
          <cell r="E59">
            <v>1.5</v>
          </cell>
          <cell r="F59">
            <v>4</v>
          </cell>
          <cell r="G59">
            <v>6</v>
          </cell>
          <cell r="H59">
            <v>3</v>
          </cell>
          <cell r="I59">
            <v>-3.1288317140302224E-2</v>
          </cell>
          <cell r="J59">
            <v>1.1185788718036149</v>
          </cell>
          <cell r="K59">
            <v>-0.50967645074219126</v>
          </cell>
          <cell r="P59">
            <v>2</v>
          </cell>
          <cell r="Q59">
            <v>9</v>
          </cell>
        </row>
        <row r="60">
          <cell r="A60">
            <v>46</v>
          </cell>
          <cell r="B60" t="str">
            <v>Soap A</v>
          </cell>
          <cell r="C60">
            <v>2</v>
          </cell>
          <cell r="D60">
            <v>5</v>
          </cell>
          <cell r="E60">
            <v>1</v>
          </cell>
          <cell r="F60">
            <v>4</v>
          </cell>
          <cell r="G60">
            <v>7</v>
          </cell>
          <cell r="H60">
            <v>4</v>
          </cell>
          <cell r="I60">
            <v>-3.1288317140302224E-2</v>
          </cell>
          <cell r="J60">
            <v>1.644444636237187</v>
          </cell>
          <cell r="K60">
            <v>4.2083376666786312E-2</v>
          </cell>
          <cell r="P60">
            <v>2</v>
          </cell>
          <cell r="Q60">
            <v>5</v>
          </cell>
        </row>
        <row r="61">
          <cell r="A61">
            <v>47</v>
          </cell>
          <cell r="B61" t="str">
            <v>Soap B</v>
          </cell>
          <cell r="C61">
            <v>3.5</v>
          </cell>
          <cell r="D61">
            <v>1</v>
          </cell>
          <cell r="E61">
            <v>1.5</v>
          </cell>
          <cell r="F61">
            <v>2</v>
          </cell>
          <cell r="G61">
            <v>3</v>
          </cell>
          <cell r="H61">
            <v>5</v>
          </cell>
          <cell r="I61">
            <v>-1.0861515807276292</v>
          </cell>
          <cell r="J61">
            <v>-0.45901842149710087</v>
          </cell>
          <cell r="K61">
            <v>0.59384320407576385</v>
          </cell>
          <cell r="P61">
            <v>3</v>
          </cell>
          <cell r="Q61">
            <v>2</v>
          </cell>
        </row>
        <row r="62">
          <cell r="A62">
            <v>48</v>
          </cell>
          <cell r="B62" t="str">
            <v>Soap A</v>
          </cell>
          <cell r="C62">
            <v>2</v>
          </cell>
          <cell r="D62">
            <v>10</v>
          </cell>
          <cell r="E62">
            <v>1</v>
          </cell>
          <cell r="F62">
            <v>7</v>
          </cell>
          <cell r="G62">
            <v>3</v>
          </cell>
          <cell r="H62">
            <v>1</v>
          </cell>
          <cell r="I62">
            <v>1.5510065782406881</v>
          </cell>
          <cell r="J62">
            <v>-0.45901842149710087</v>
          </cell>
          <cell r="K62">
            <v>-1.6131961055601465</v>
          </cell>
          <cell r="P62">
            <v>1</v>
          </cell>
          <cell r="Q62">
            <v>10</v>
          </cell>
        </row>
        <row r="63">
          <cell r="A63">
            <v>49</v>
          </cell>
          <cell r="B63" t="str">
            <v>Soap B</v>
          </cell>
          <cell r="C63">
            <v>3.5</v>
          </cell>
          <cell r="D63">
            <v>2</v>
          </cell>
          <cell r="E63">
            <v>1.5</v>
          </cell>
          <cell r="F63">
            <v>2</v>
          </cell>
          <cell r="G63">
            <v>2</v>
          </cell>
          <cell r="H63">
            <v>5</v>
          </cell>
          <cell r="I63">
            <v>-1.0861515807276292</v>
          </cell>
          <cell r="J63">
            <v>-0.98488418593067284</v>
          </cell>
          <cell r="K63">
            <v>0.59384320407576385</v>
          </cell>
          <cell r="P63">
            <v>3</v>
          </cell>
          <cell r="Q63">
            <v>4</v>
          </cell>
        </row>
        <row r="64">
          <cell r="A64">
            <v>50</v>
          </cell>
          <cell r="B64" t="str">
            <v>Soap B</v>
          </cell>
          <cell r="C64">
            <v>2.5</v>
          </cell>
          <cell r="D64">
            <v>9</v>
          </cell>
          <cell r="E64">
            <v>1.5</v>
          </cell>
          <cell r="F64">
            <v>5</v>
          </cell>
          <cell r="G64">
            <v>3</v>
          </cell>
          <cell r="H64">
            <v>3</v>
          </cell>
          <cell r="I64">
            <v>0.49614331465336126</v>
          </cell>
          <cell r="J64">
            <v>-0.45901842149710087</v>
          </cell>
          <cell r="K64">
            <v>-0.50967645074219126</v>
          </cell>
          <cell r="P64">
            <v>1</v>
          </cell>
          <cell r="Q64">
            <v>9</v>
          </cell>
        </row>
        <row r="65">
          <cell r="A65">
            <v>51</v>
          </cell>
          <cell r="B65" t="str">
            <v>Soap A</v>
          </cell>
          <cell r="C65">
            <v>2.2999999999999998</v>
          </cell>
          <cell r="D65">
            <v>0</v>
          </cell>
          <cell r="E65">
            <v>1</v>
          </cell>
          <cell r="F65">
            <v>3</v>
          </cell>
          <cell r="G65">
            <v>3</v>
          </cell>
          <cell r="H65">
            <v>7</v>
          </cell>
          <cell r="I65">
            <v>-0.5587199489339657</v>
          </cell>
          <cell r="J65">
            <v>-0.45901842149710087</v>
          </cell>
          <cell r="K65">
            <v>1.6973628588937191</v>
          </cell>
          <cell r="P65">
            <v>3</v>
          </cell>
          <cell r="Q65">
            <v>0</v>
          </cell>
        </row>
        <row r="66">
          <cell r="A66">
            <v>52</v>
          </cell>
          <cell r="B66" t="str">
            <v>Soap A</v>
          </cell>
          <cell r="C66">
            <v>2.2999999999999998</v>
          </cell>
          <cell r="D66">
            <v>6</v>
          </cell>
          <cell r="E66">
            <v>1</v>
          </cell>
          <cell r="F66">
            <v>4</v>
          </cell>
          <cell r="G66">
            <v>6</v>
          </cell>
          <cell r="H66">
            <v>5</v>
          </cell>
          <cell r="I66">
            <v>-3.1288317140302224E-2</v>
          </cell>
          <cell r="J66">
            <v>1.1185788718036149</v>
          </cell>
          <cell r="K66">
            <v>0.59384320407576385</v>
          </cell>
          <cell r="P66">
            <v>2</v>
          </cell>
          <cell r="Q66">
            <v>7.7999999999999989</v>
          </cell>
        </row>
        <row r="67">
          <cell r="A67">
            <v>53</v>
          </cell>
          <cell r="B67" t="str">
            <v>Soap A</v>
          </cell>
          <cell r="C67">
            <v>2</v>
          </cell>
          <cell r="D67">
            <v>6</v>
          </cell>
          <cell r="E67">
            <v>1</v>
          </cell>
          <cell r="F67">
            <v>6</v>
          </cell>
          <cell r="G67">
            <v>3</v>
          </cell>
          <cell r="H67">
            <v>2</v>
          </cell>
          <cell r="I67">
            <v>1.0235749464470247</v>
          </cell>
          <cell r="J67">
            <v>-0.45901842149710087</v>
          </cell>
          <cell r="K67">
            <v>-1.0614362781511688</v>
          </cell>
          <cell r="P67">
            <v>1</v>
          </cell>
          <cell r="Q67">
            <v>6</v>
          </cell>
        </row>
        <row r="68">
          <cell r="A68">
            <v>54</v>
          </cell>
          <cell r="B68" t="str">
            <v>Soap B</v>
          </cell>
          <cell r="C68">
            <v>3</v>
          </cell>
          <cell r="D68">
            <v>6</v>
          </cell>
          <cell r="E68">
            <v>1.5</v>
          </cell>
          <cell r="F68">
            <v>4</v>
          </cell>
          <cell r="G68">
            <v>7</v>
          </cell>
          <cell r="H68">
            <v>4</v>
          </cell>
          <cell r="I68">
            <v>-3.1288317140302224E-2</v>
          </cell>
          <cell r="J68">
            <v>1.644444636237187</v>
          </cell>
          <cell r="K68">
            <v>4.2083376666786312E-2</v>
          </cell>
          <cell r="P68">
            <v>2</v>
          </cell>
          <cell r="Q68">
            <v>9</v>
          </cell>
        </row>
        <row r="69">
          <cell r="A69">
            <v>55</v>
          </cell>
          <cell r="B69" t="str">
            <v>Soap A</v>
          </cell>
          <cell r="C69">
            <v>2.2999999999999998</v>
          </cell>
          <cell r="D69">
            <v>0</v>
          </cell>
          <cell r="E69">
            <v>1</v>
          </cell>
          <cell r="F69">
            <v>2</v>
          </cell>
          <cell r="G69">
            <v>1</v>
          </cell>
          <cell r="H69">
            <v>5</v>
          </cell>
          <cell r="I69">
            <v>-1.0861515807276292</v>
          </cell>
          <cell r="J69">
            <v>-1.5107499503642448</v>
          </cell>
          <cell r="K69">
            <v>0.59384320407576385</v>
          </cell>
          <cell r="P69">
            <v>3</v>
          </cell>
          <cell r="Q69">
            <v>0</v>
          </cell>
        </row>
        <row r="70">
          <cell r="A70">
            <v>56</v>
          </cell>
          <cell r="B70" t="str">
            <v>Soap A</v>
          </cell>
          <cell r="C70">
            <v>2.2999999999999998</v>
          </cell>
          <cell r="D70">
            <v>6</v>
          </cell>
          <cell r="E70">
            <v>1</v>
          </cell>
          <cell r="F70">
            <v>5</v>
          </cell>
          <cell r="G70">
            <v>6</v>
          </cell>
          <cell r="H70">
            <v>5</v>
          </cell>
          <cell r="I70">
            <v>0.49614331465336126</v>
          </cell>
          <cell r="J70">
            <v>1.1185788718036149</v>
          </cell>
          <cell r="K70">
            <v>0.59384320407576385</v>
          </cell>
          <cell r="P70">
            <v>2</v>
          </cell>
          <cell r="Q70">
            <v>7.7999999999999989</v>
          </cell>
        </row>
        <row r="71">
          <cell r="A71">
            <v>57</v>
          </cell>
          <cell r="B71" t="str">
            <v>Soap A</v>
          </cell>
          <cell r="C71">
            <v>2</v>
          </cell>
          <cell r="D71">
            <v>10</v>
          </cell>
          <cell r="E71">
            <v>1</v>
          </cell>
          <cell r="F71">
            <v>5</v>
          </cell>
          <cell r="G71">
            <v>4</v>
          </cell>
          <cell r="H71">
            <v>1</v>
          </cell>
          <cell r="I71">
            <v>0.49614331465336126</v>
          </cell>
          <cell r="J71">
            <v>6.6847342936471071E-2</v>
          </cell>
          <cell r="K71">
            <v>-1.6131961055601465</v>
          </cell>
          <cell r="P71">
            <v>1</v>
          </cell>
          <cell r="Q71">
            <v>10</v>
          </cell>
        </row>
        <row r="72">
          <cell r="A72">
            <v>58</v>
          </cell>
          <cell r="B72" t="str">
            <v>Soap A</v>
          </cell>
          <cell r="C72">
            <v>2</v>
          </cell>
          <cell r="D72">
            <v>2</v>
          </cell>
          <cell r="E72">
            <v>1</v>
          </cell>
          <cell r="F72">
            <v>2</v>
          </cell>
          <cell r="G72">
            <v>2</v>
          </cell>
          <cell r="H72">
            <v>5</v>
          </cell>
          <cell r="I72">
            <v>-1.0861515807276292</v>
          </cell>
          <cell r="J72">
            <v>-0.98488418593067284</v>
          </cell>
          <cell r="K72">
            <v>0.59384320407576385</v>
          </cell>
          <cell r="P72">
            <v>3</v>
          </cell>
          <cell r="Q72">
            <v>2</v>
          </cell>
        </row>
        <row r="73">
          <cell r="A73">
            <v>59</v>
          </cell>
          <cell r="B73" t="str">
            <v>Soap B</v>
          </cell>
          <cell r="C73">
            <v>2.5</v>
          </cell>
          <cell r="D73">
            <v>6</v>
          </cell>
          <cell r="E73">
            <v>1.5</v>
          </cell>
          <cell r="F73">
            <v>3</v>
          </cell>
          <cell r="G73">
            <v>6</v>
          </cell>
          <cell r="H73">
            <v>3</v>
          </cell>
          <cell r="I73">
            <v>-0.5587199489339657</v>
          </cell>
          <cell r="J73">
            <v>1.1185788718036149</v>
          </cell>
          <cell r="K73">
            <v>-0.50967645074219126</v>
          </cell>
          <cell r="P73">
            <v>2</v>
          </cell>
          <cell r="Q73">
            <v>6</v>
          </cell>
        </row>
        <row r="74">
          <cell r="A74">
            <v>60</v>
          </cell>
          <cell r="B74" t="str">
            <v>Soap B</v>
          </cell>
          <cell r="C74">
            <v>3.5</v>
          </cell>
          <cell r="D74">
            <v>1</v>
          </cell>
          <cell r="E74">
            <v>1.5</v>
          </cell>
          <cell r="F74">
            <v>1</v>
          </cell>
          <cell r="G74">
            <v>2</v>
          </cell>
          <cell r="H74">
            <v>5</v>
          </cell>
          <cell r="I74">
            <v>-1.6135832125212926</v>
          </cell>
          <cell r="J74">
            <v>-0.98488418593067284</v>
          </cell>
          <cell r="K74">
            <v>0.59384320407576385</v>
          </cell>
          <cell r="P74">
            <v>3</v>
          </cell>
          <cell r="Q74">
            <v>2</v>
          </cell>
        </row>
        <row r="75">
          <cell r="A75">
            <v>61</v>
          </cell>
          <cell r="B75" t="str">
            <v>Soap B</v>
          </cell>
          <cell r="C75">
            <v>3</v>
          </cell>
          <cell r="D75">
            <v>6</v>
          </cell>
          <cell r="E75">
            <v>1.5</v>
          </cell>
          <cell r="F75">
            <v>3</v>
          </cell>
          <cell r="G75">
            <v>5</v>
          </cell>
          <cell r="H75">
            <v>3</v>
          </cell>
          <cell r="I75">
            <v>-0.5587199489339657</v>
          </cell>
          <cell r="J75">
            <v>0.59271310737004301</v>
          </cell>
          <cell r="K75">
            <v>-0.50967645074219126</v>
          </cell>
          <cell r="P75">
            <v>2</v>
          </cell>
          <cell r="Q75">
            <v>9</v>
          </cell>
        </row>
        <row r="76">
          <cell r="A76">
            <v>62</v>
          </cell>
          <cell r="B76" t="str">
            <v>Soap A</v>
          </cell>
          <cell r="C76">
            <v>2.2999999999999998</v>
          </cell>
          <cell r="D76">
            <v>2</v>
          </cell>
          <cell r="E76">
            <v>1</v>
          </cell>
          <cell r="F76">
            <v>2</v>
          </cell>
          <cell r="G76">
            <v>3</v>
          </cell>
          <cell r="H76">
            <v>7</v>
          </cell>
          <cell r="I76">
            <v>-1.0861515807276292</v>
          </cell>
          <cell r="J76">
            <v>-0.45901842149710087</v>
          </cell>
          <cell r="K76">
            <v>1.6973628588937191</v>
          </cell>
          <cell r="P76">
            <v>3</v>
          </cell>
          <cell r="Q76">
            <v>2.5999999999999996</v>
          </cell>
        </row>
        <row r="77">
          <cell r="A77">
            <v>63</v>
          </cell>
          <cell r="B77" t="str">
            <v>Soap A</v>
          </cell>
          <cell r="C77">
            <v>2.2999999999999998</v>
          </cell>
          <cell r="D77">
            <v>1</v>
          </cell>
          <cell r="E77">
            <v>1</v>
          </cell>
          <cell r="F77">
            <v>1</v>
          </cell>
          <cell r="G77">
            <v>2</v>
          </cell>
          <cell r="H77">
            <v>6</v>
          </cell>
          <cell r="I77">
            <v>-1.6135832125212926</v>
          </cell>
          <cell r="J77">
            <v>-0.98488418593067284</v>
          </cell>
          <cell r="K77">
            <v>1.1456030314847414</v>
          </cell>
          <cell r="P77">
            <v>3</v>
          </cell>
          <cell r="Q77">
            <v>1.2999999999999998</v>
          </cell>
        </row>
        <row r="78">
          <cell r="A78">
            <v>64</v>
          </cell>
          <cell r="B78" t="str">
            <v>Soap B</v>
          </cell>
          <cell r="C78">
            <v>3.5</v>
          </cell>
          <cell r="D78">
            <v>2</v>
          </cell>
          <cell r="E78">
            <v>1.5</v>
          </cell>
          <cell r="F78">
            <v>2</v>
          </cell>
          <cell r="G78">
            <v>1</v>
          </cell>
          <cell r="H78">
            <v>5</v>
          </cell>
          <cell r="I78">
            <v>-1.0861515807276292</v>
          </cell>
          <cell r="J78">
            <v>-1.5107499503642448</v>
          </cell>
          <cell r="K78">
            <v>0.59384320407576385</v>
          </cell>
          <cell r="P78">
            <v>3</v>
          </cell>
          <cell r="Q78">
            <v>4</v>
          </cell>
        </row>
        <row r="79">
          <cell r="A79">
            <v>65</v>
          </cell>
          <cell r="B79" t="str">
            <v>Soap B</v>
          </cell>
          <cell r="C79">
            <v>3.5</v>
          </cell>
          <cell r="D79">
            <v>1</v>
          </cell>
          <cell r="E79">
            <v>1.5</v>
          </cell>
          <cell r="F79">
            <v>1</v>
          </cell>
          <cell r="G79">
            <v>2</v>
          </cell>
          <cell r="H79">
            <v>7</v>
          </cell>
          <cell r="I79">
            <v>-1.6135832125212926</v>
          </cell>
          <cell r="J79">
            <v>-0.98488418593067284</v>
          </cell>
          <cell r="K79">
            <v>1.6973628588937191</v>
          </cell>
          <cell r="P79">
            <v>3</v>
          </cell>
          <cell r="Q79">
            <v>2</v>
          </cell>
        </row>
        <row r="80">
          <cell r="A80">
            <v>66</v>
          </cell>
          <cell r="B80" t="str">
            <v>Soap B</v>
          </cell>
          <cell r="C80">
            <v>2.5</v>
          </cell>
          <cell r="D80">
            <v>9</v>
          </cell>
          <cell r="E80">
            <v>1.5</v>
          </cell>
          <cell r="F80">
            <v>6</v>
          </cell>
          <cell r="G80">
            <v>4</v>
          </cell>
          <cell r="H80">
            <v>1</v>
          </cell>
          <cell r="I80">
            <v>1.0235749464470247</v>
          </cell>
          <cell r="J80">
            <v>6.6847342936471071E-2</v>
          </cell>
          <cell r="K80">
            <v>-1.6131961055601465</v>
          </cell>
          <cell r="P80">
            <v>1</v>
          </cell>
          <cell r="Q80">
            <v>9</v>
          </cell>
        </row>
        <row r="81">
          <cell r="A81">
            <v>67</v>
          </cell>
          <cell r="B81" t="str">
            <v>Soap A</v>
          </cell>
          <cell r="C81">
            <v>2</v>
          </cell>
          <cell r="D81">
            <v>9</v>
          </cell>
          <cell r="E81">
            <v>1</v>
          </cell>
          <cell r="F81">
            <v>7</v>
          </cell>
          <cell r="G81">
            <v>4</v>
          </cell>
          <cell r="H81">
            <v>2</v>
          </cell>
          <cell r="I81">
            <v>1.5510065782406881</v>
          </cell>
          <cell r="J81">
            <v>6.6847342936471071E-2</v>
          </cell>
          <cell r="K81">
            <v>-1.0614362781511688</v>
          </cell>
          <cell r="P81">
            <v>1</v>
          </cell>
          <cell r="Q81">
            <v>9</v>
          </cell>
        </row>
        <row r="82">
          <cell r="A82">
            <v>68</v>
          </cell>
          <cell r="B82" t="str">
            <v>Soap A</v>
          </cell>
          <cell r="C82">
            <v>2</v>
          </cell>
          <cell r="D82">
            <v>9</v>
          </cell>
          <cell r="E82">
            <v>1</v>
          </cell>
          <cell r="F82">
            <v>7</v>
          </cell>
          <cell r="G82">
            <v>4</v>
          </cell>
          <cell r="H82">
            <v>1</v>
          </cell>
          <cell r="I82">
            <v>1.5510065782406881</v>
          </cell>
          <cell r="J82">
            <v>6.6847342936471071E-2</v>
          </cell>
          <cell r="K82">
            <v>-1.6131961055601465</v>
          </cell>
          <cell r="P82">
            <v>1</v>
          </cell>
          <cell r="Q82">
            <v>9</v>
          </cell>
        </row>
        <row r="83">
          <cell r="A83">
            <v>69</v>
          </cell>
          <cell r="B83" t="str">
            <v>Soap B</v>
          </cell>
          <cell r="C83">
            <v>2.5</v>
          </cell>
          <cell r="D83">
            <v>6</v>
          </cell>
          <cell r="E83">
            <v>1.5</v>
          </cell>
          <cell r="F83">
            <v>3</v>
          </cell>
          <cell r="G83">
            <v>6</v>
          </cell>
          <cell r="H83">
            <v>3</v>
          </cell>
          <cell r="I83">
            <v>-0.5587199489339657</v>
          </cell>
          <cell r="J83">
            <v>1.1185788718036149</v>
          </cell>
          <cell r="K83">
            <v>-0.50967645074219126</v>
          </cell>
          <cell r="P83">
            <v>2</v>
          </cell>
          <cell r="Q83">
            <v>6</v>
          </cell>
        </row>
        <row r="84">
          <cell r="A84">
            <v>70</v>
          </cell>
          <cell r="B84" t="str">
            <v>Soap A</v>
          </cell>
          <cell r="C84">
            <v>2</v>
          </cell>
          <cell r="D84">
            <v>0</v>
          </cell>
          <cell r="E84">
            <v>1</v>
          </cell>
          <cell r="F84">
            <v>1</v>
          </cell>
          <cell r="G84">
            <v>1</v>
          </cell>
          <cell r="H84">
            <v>5</v>
          </cell>
          <cell r="I84">
            <v>-1.6135832125212926</v>
          </cell>
          <cell r="J84">
            <v>-1.5107499503642448</v>
          </cell>
          <cell r="K84">
            <v>0.59384320407576385</v>
          </cell>
          <cell r="P84">
            <v>3</v>
          </cell>
          <cell r="Q84">
            <v>0</v>
          </cell>
        </row>
        <row r="85">
          <cell r="A85">
            <v>71</v>
          </cell>
          <cell r="B85" t="str">
            <v>Soap B</v>
          </cell>
          <cell r="C85">
            <v>3</v>
          </cell>
          <cell r="D85">
            <v>5</v>
          </cell>
          <cell r="E85">
            <v>1.5</v>
          </cell>
          <cell r="F85">
            <v>4</v>
          </cell>
          <cell r="G85">
            <v>7</v>
          </cell>
          <cell r="H85">
            <v>3</v>
          </cell>
          <cell r="I85">
            <v>-3.1288317140302224E-2</v>
          </cell>
          <cell r="J85">
            <v>1.644444636237187</v>
          </cell>
          <cell r="K85">
            <v>-0.50967645074219126</v>
          </cell>
          <cell r="P85">
            <v>2</v>
          </cell>
          <cell r="Q85">
            <v>7.5</v>
          </cell>
        </row>
        <row r="86">
          <cell r="A86">
            <v>72</v>
          </cell>
          <cell r="B86" t="str">
            <v>Soap A</v>
          </cell>
          <cell r="C86">
            <v>2</v>
          </cell>
          <cell r="D86">
            <v>2</v>
          </cell>
          <cell r="E86">
            <v>1</v>
          </cell>
          <cell r="F86">
            <v>1</v>
          </cell>
          <cell r="G86">
            <v>3</v>
          </cell>
          <cell r="H86">
            <v>6</v>
          </cell>
          <cell r="I86">
            <v>-1.6135832125212926</v>
          </cell>
          <cell r="J86">
            <v>-0.45901842149710087</v>
          </cell>
          <cell r="K86">
            <v>1.1456030314847414</v>
          </cell>
          <cell r="P86">
            <v>3</v>
          </cell>
          <cell r="Q86">
            <v>2</v>
          </cell>
        </row>
        <row r="87">
          <cell r="A87">
            <v>73</v>
          </cell>
          <cell r="B87" t="str">
            <v>Soap B</v>
          </cell>
          <cell r="C87">
            <v>2.5</v>
          </cell>
          <cell r="D87">
            <v>6</v>
          </cell>
          <cell r="E87">
            <v>1.5</v>
          </cell>
          <cell r="F87">
            <v>7</v>
          </cell>
          <cell r="G87">
            <v>3</v>
          </cell>
          <cell r="H87">
            <v>1</v>
          </cell>
          <cell r="I87">
            <v>1.5510065782406881</v>
          </cell>
          <cell r="J87">
            <v>-0.45901842149710087</v>
          </cell>
          <cell r="K87">
            <v>-1.6131961055601465</v>
          </cell>
          <cell r="P87">
            <v>1</v>
          </cell>
          <cell r="Q87">
            <v>6</v>
          </cell>
        </row>
        <row r="88">
          <cell r="A88">
            <v>74</v>
          </cell>
          <cell r="B88" t="str">
            <v>Soap B</v>
          </cell>
          <cell r="C88">
            <v>2.5</v>
          </cell>
          <cell r="D88">
            <v>9</v>
          </cell>
          <cell r="E88">
            <v>1.5</v>
          </cell>
          <cell r="F88">
            <v>5</v>
          </cell>
          <cell r="G88">
            <v>4</v>
          </cell>
          <cell r="H88">
            <v>2</v>
          </cell>
          <cell r="I88">
            <v>0.49614331465336126</v>
          </cell>
          <cell r="J88">
            <v>6.6847342936471071E-2</v>
          </cell>
          <cell r="K88">
            <v>-1.0614362781511688</v>
          </cell>
          <cell r="P88">
            <v>1</v>
          </cell>
          <cell r="Q88">
            <v>9</v>
          </cell>
        </row>
        <row r="89">
          <cell r="A89">
            <v>75</v>
          </cell>
          <cell r="B89" t="str">
            <v>Soap B</v>
          </cell>
          <cell r="C89">
            <v>2.5</v>
          </cell>
          <cell r="D89">
            <v>7</v>
          </cell>
          <cell r="E89">
            <v>1.5</v>
          </cell>
          <cell r="F89">
            <v>6</v>
          </cell>
          <cell r="G89">
            <v>4</v>
          </cell>
          <cell r="H89">
            <v>2</v>
          </cell>
          <cell r="I89">
            <v>1.0235749464470247</v>
          </cell>
          <cell r="J89">
            <v>6.6847342936471071E-2</v>
          </cell>
          <cell r="K89">
            <v>-1.0614362781511688</v>
          </cell>
          <cell r="P89">
            <v>1</v>
          </cell>
          <cell r="Q89">
            <v>7</v>
          </cell>
        </row>
        <row r="90">
          <cell r="A90">
            <v>76</v>
          </cell>
          <cell r="B90" t="str">
            <v>Soap A</v>
          </cell>
          <cell r="C90">
            <v>2.2999999999999998</v>
          </cell>
          <cell r="D90">
            <v>7</v>
          </cell>
          <cell r="E90">
            <v>1</v>
          </cell>
          <cell r="F90">
            <v>6</v>
          </cell>
          <cell r="G90">
            <v>3</v>
          </cell>
          <cell r="H90">
            <v>1</v>
          </cell>
          <cell r="I90">
            <v>1.0235749464470247</v>
          </cell>
          <cell r="J90">
            <v>-0.45901842149710087</v>
          </cell>
          <cell r="K90">
            <v>-1.6131961055601465</v>
          </cell>
          <cell r="P90">
            <v>1</v>
          </cell>
          <cell r="Q90">
            <v>9.0999999999999979</v>
          </cell>
        </row>
        <row r="91">
          <cell r="A91">
            <v>77</v>
          </cell>
          <cell r="B91" t="str">
            <v>Soap B</v>
          </cell>
          <cell r="C91">
            <v>3.5</v>
          </cell>
          <cell r="D91">
            <v>1</v>
          </cell>
          <cell r="E91">
            <v>1.5</v>
          </cell>
          <cell r="F91">
            <v>2</v>
          </cell>
          <cell r="G91">
            <v>1</v>
          </cell>
          <cell r="H91">
            <v>7</v>
          </cell>
          <cell r="I91">
            <v>-1.0861515807276292</v>
          </cell>
          <cell r="J91">
            <v>-1.5107499503642448</v>
          </cell>
          <cell r="K91">
            <v>1.6973628588937191</v>
          </cell>
          <cell r="P91">
            <v>3</v>
          </cell>
          <cell r="Q91">
            <v>2</v>
          </cell>
        </row>
        <row r="92">
          <cell r="A92">
            <v>78</v>
          </cell>
          <cell r="B92" t="str">
            <v>Soap B</v>
          </cell>
          <cell r="C92">
            <v>3</v>
          </cell>
          <cell r="D92">
            <v>5</v>
          </cell>
          <cell r="E92">
            <v>1.5</v>
          </cell>
          <cell r="F92">
            <v>5</v>
          </cell>
          <cell r="G92">
            <v>6</v>
          </cell>
          <cell r="H92">
            <v>4</v>
          </cell>
          <cell r="I92">
            <v>0.49614331465336126</v>
          </cell>
          <cell r="J92">
            <v>1.1185788718036149</v>
          </cell>
          <cell r="K92">
            <v>4.2083376666786312E-2</v>
          </cell>
          <cell r="P92">
            <v>2</v>
          </cell>
          <cell r="Q92">
            <v>7.5</v>
          </cell>
        </row>
        <row r="93">
          <cell r="A93">
            <v>79</v>
          </cell>
          <cell r="B93" t="str">
            <v>Soap A</v>
          </cell>
          <cell r="C93">
            <v>2.2999999999999998</v>
          </cell>
          <cell r="D93">
            <v>2</v>
          </cell>
          <cell r="E93">
            <v>1</v>
          </cell>
          <cell r="F93">
            <v>3</v>
          </cell>
          <cell r="G93">
            <v>2</v>
          </cell>
          <cell r="H93">
            <v>6</v>
          </cell>
          <cell r="I93">
            <v>-0.5587199489339657</v>
          </cell>
          <cell r="J93">
            <v>-0.98488418593067284</v>
          </cell>
          <cell r="K93">
            <v>1.1456030314847414</v>
          </cell>
          <cell r="P93">
            <v>3</v>
          </cell>
          <cell r="Q93">
            <v>2.5999999999999996</v>
          </cell>
        </row>
        <row r="94">
          <cell r="A94">
            <v>80</v>
          </cell>
          <cell r="B94" t="str">
            <v>Soap A</v>
          </cell>
          <cell r="C94">
            <v>2.2999999999999998</v>
          </cell>
          <cell r="D94">
            <v>1</v>
          </cell>
          <cell r="E94">
            <v>1</v>
          </cell>
          <cell r="F94">
            <v>2</v>
          </cell>
          <cell r="G94">
            <v>1</v>
          </cell>
          <cell r="H94">
            <v>6</v>
          </cell>
          <cell r="I94">
            <v>-1.0861515807276292</v>
          </cell>
          <cell r="J94">
            <v>-1.5107499503642448</v>
          </cell>
          <cell r="K94">
            <v>1.1456030314847414</v>
          </cell>
          <cell r="P94">
            <v>3</v>
          </cell>
          <cell r="Q94">
            <v>1.2999999999999998</v>
          </cell>
        </row>
        <row r="95">
          <cell r="A95">
            <v>81</v>
          </cell>
          <cell r="B95" t="str">
            <v>Soap B</v>
          </cell>
          <cell r="C95">
            <v>3</v>
          </cell>
          <cell r="D95">
            <v>6</v>
          </cell>
          <cell r="E95">
            <v>1.5</v>
          </cell>
          <cell r="F95">
            <v>3</v>
          </cell>
          <cell r="G95">
            <v>5</v>
          </cell>
          <cell r="H95">
            <v>3</v>
          </cell>
          <cell r="I95">
            <v>-0.5587199489339657</v>
          </cell>
          <cell r="J95">
            <v>0.59271310737004301</v>
          </cell>
          <cell r="K95">
            <v>-0.50967645074219126</v>
          </cell>
          <cell r="P95">
            <v>2</v>
          </cell>
          <cell r="Q95">
            <v>9</v>
          </cell>
        </row>
        <row r="96">
          <cell r="A96">
            <v>82</v>
          </cell>
          <cell r="B96" t="str">
            <v>Soap B</v>
          </cell>
          <cell r="C96">
            <v>2.5</v>
          </cell>
          <cell r="D96">
            <v>9</v>
          </cell>
          <cell r="E96">
            <v>1.5</v>
          </cell>
          <cell r="F96">
            <v>7</v>
          </cell>
          <cell r="G96">
            <v>5</v>
          </cell>
          <cell r="H96">
            <v>3</v>
          </cell>
          <cell r="I96">
            <v>1.5510065782406881</v>
          </cell>
          <cell r="J96">
            <v>0.59271310737004301</v>
          </cell>
          <cell r="K96">
            <v>-0.50967645074219126</v>
          </cell>
          <cell r="P96">
            <v>1</v>
          </cell>
          <cell r="Q96">
            <v>9</v>
          </cell>
        </row>
        <row r="97">
          <cell r="A97">
            <v>83</v>
          </cell>
          <cell r="B97" t="str">
            <v>Soap B</v>
          </cell>
          <cell r="C97">
            <v>3.5</v>
          </cell>
          <cell r="D97">
            <v>2</v>
          </cell>
          <cell r="E97">
            <v>1.5</v>
          </cell>
          <cell r="F97">
            <v>3</v>
          </cell>
          <cell r="G97">
            <v>1</v>
          </cell>
          <cell r="H97">
            <v>6</v>
          </cell>
          <cell r="I97">
            <v>-0.5587199489339657</v>
          </cell>
          <cell r="J97">
            <v>-1.5107499503642448</v>
          </cell>
          <cell r="K97">
            <v>1.1456030314847414</v>
          </cell>
          <cell r="P97">
            <v>3</v>
          </cell>
          <cell r="Q97">
            <v>4</v>
          </cell>
        </row>
        <row r="98">
          <cell r="A98">
            <v>84</v>
          </cell>
          <cell r="B98" t="str">
            <v>Soap B</v>
          </cell>
          <cell r="C98">
            <v>3</v>
          </cell>
          <cell r="D98">
            <v>7</v>
          </cell>
          <cell r="E98">
            <v>1.5</v>
          </cell>
          <cell r="F98">
            <v>7</v>
          </cell>
          <cell r="G98">
            <v>5</v>
          </cell>
          <cell r="H98">
            <v>3</v>
          </cell>
          <cell r="I98">
            <v>1.5510065782406881</v>
          </cell>
          <cell r="J98">
            <v>0.59271310737004301</v>
          </cell>
          <cell r="K98">
            <v>-0.50967645074219126</v>
          </cell>
          <cell r="P98">
            <v>1</v>
          </cell>
          <cell r="Q98">
            <v>10.5</v>
          </cell>
        </row>
        <row r="99">
          <cell r="A99">
            <v>85</v>
          </cell>
          <cell r="B99" t="str">
            <v>Soap B</v>
          </cell>
          <cell r="C99">
            <v>3</v>
          </cell>
          <cell r="D99">
            <v>7</v>
          </cell>
          <cell r="E99">
            <v>1.5</v>
          </cell>
          <cell r="F99">
            <v>7</v>
          </cell>
          <cell r="G99">
            <v>3</v>
          </cell>
          <cell r="H99">
            <v>2</v>
          </cell>
          <cell r="I99">
            <v>1.5510065782406881</v>
          </cell>
          <cell r="J99">
            <v>-0.45901842149710087</v>
          </cell>
          <cell r="K99">
            <v>-1.0614362781511688</v>
          </cell>
          <cell r="P99">
            <v>1</v>
          </cell>
          <cell r="Q99">
            <v>10.5</v>
          </cell>
        </row>
        <row r="100">
          <cell r="A100">
            <v>86</v>
          </cell>
          <cell r="B100" t="str">
            <v>Soap A</v>
          </cell>
          <cell r="C100">
            <v>2</v>
          </cell>
          <cell r="D100">
            <v>2</v>
          </cell>
          <cell r="E100">
            <v>1</v>
          </cell>
          <cell r="F100">
            <v>3</v>
          </cell>
          <cell r="G100">
            <v>1</v>
          </cell>
          <cell r="H100">
            <v>5</v>
          </cell>
          <cell r="I100">
            <v>-0.5587199489339657</v>
          </cell>
          <cell r="J100">
            <v>-1.5107499503642448</v>
          </cell>
          <cell r="K100">
            <v>0.59384320407576385</v>
          </cell>
          <cell r="P100">
            <v>3</v>
          </cell>
          <cell r="Q100">
            <v>2</v>
          </cell>
        </row>
        <row r="101">
          <cell r="A101">
            <v>87</v>
          </cell>
          <cell r="B101" t="str">
            <v>Soap A</v>
          </cell>
          <cell r="C101">
            <v>2.2999999999999998</v>
          </cell>
          <cell r="D101">
            <v>3</v>
          </cell>
          <cell r="E101">
            <v>1</v>
          </cell>
          <cell r="F101">
            <v>5</v>
          </cell>
          <cell r="G101">
            <v>5</v>
          </cell>
          <cell r="H101">
            <v>4</v>
          </cell>
          <cell r="I101">
            <v>0.49614331465336126</v>
          </cell>
          <cell r="J101">
            <v>0.59271310737004301</v>
          </cell>
          <cell r="K101">
            <v>4.2083376666786312E-2</v>
          </cell>
          <cell r="P101">
            <v>2</v>
          </cell>
          <cell r="Q101">
            <v>3.8999999999999995</v>
          </cell>
        </row>
        <row r="102">
          <cell r="A102">
            <v>88</v>
          </cell>
          <cell r="B102" t="str">
            <v>Soap B</v>
          </cell>
          <cell r="C102">
            <v>3.5</v>
          </cell>
          <cell r="D102">
            <v>1</v>
          </cell>
          <cell r="E102">
            <v>1.5</v>
          </cell>
          <cell r="F102">
            <v>1</v>
          </cell>
          <cell r="G102">
            <v>1</v>
          </cell>
          <cell r="H102">
            <v>5</v>
          </cell>
          <cell r="I102">
            <v>-1.6135832125212926</v>
          </cell>
          <cell r="J102">
            <v>-1.5107499503642448</v>
          </cell>
          <cell r="K102">
            <v>0.59384320407576385</v>
          </cell>
          <cell r="P102">
            <v>3</v>
          </cell>
          <cell r="Q102">
            <v>2</v>
          </cell>
        </row>
        <row r="103">
          <cell r="A103">
            <v>89</v>
          </cell>
          <cell r="B103" t="str">
            <v>Soap B</v>
          </cell>
          <cell r="C103">
            <v>2.5</v>
          </cell>
          <cell r="D103">
            <v>7</v>
          </cell>
          <cell r="E103">
            <v>1.5</v>
          </cell>
          <cell r="F103">
            <v>7</v>
          </cell>
          <cell r="G103">
            <v>4</v>
          </cell>
          <cell r="H103">
            <v>2</v>
          </cell>
          <cell r="I103">
            <v>1.5510065782406881</v>
          </cell>
          <cell r="J103">
            <v>6.6847342936471071E-2</v>
          </cell>
          <cell r="K103">
            <v>-1.0614362781511688</v>
          </cell>
          <cell r="P103">
            <v>1</v>
          </cell>
          <cell r="Q103">
            <v>7</v>
          </cell>
        </row>
        <row r="104">
          <cell r="A104">
            <v>90</v>
          </cell>
          <cell r="B104" t="str">
            <v>Soap A</v>
          </cell>
          <cell r="C104">
            <v>2.2999999999999998</v>
          </cell>
          <cell r="D104">
            <v>7</v>
          </cell>
          <cell r="E104">
            <v>1</v>
          </cell>
          <cell r="F104">
            <v>7</v>
          </cell>
          <cell r="G104">
            <v>3</v>
          </cell>
          <cell r="H104">
            <v>3</v>
          </cell>
          <cell r="I104">
            <v>1.5510065782406881</v>
          </cell>
          <cell r="J104">
            <v>-0.45901842149710087</v>
          </cell>
          <cell r="K104">
            <v>-0.50967645074219126</v>
          </cell>
          <cell r="P104">
            <v>1</v>
          </cell>
          <cell r="Q104">
            <v>9.0999999999999979</v>
          </cell>
        </row>
        <row r="105">
          <cell r="A105">
            <v>91</v>
          </cell>
          <cell r="B105" t="str">
            <v>Soap A</v>
          </cell>
          <cell r="C105">
            <v>2</v>
          </cell>
          <cell r="D105">
            <v>10</v>
          </cell>
          <cell r="E105">
            <v>1</v>
          </cell>
          <cell r="F105">
            <v>7</v>
          </cell>
          <cell r="G105">
            <v>5</v>
          </cell>
          <cell r="H105">
            <v>1</v>
          </cell>
          <cell r="I105">
            <v>1.5510065782406881</v>
          </cell>
          <cell r="J105">
            <v>0.59271310737004301</v>
          </cell>
          <cell r="K105">
            <v>-1.6131961055601465</v>
          </cell>
          <cell r="P105">
            <v>1</v>
          </cell>
          <cell r="Q105">
            <v>10</v>
          </cell>
        </row>
        <row r="106">
          <cell r="A106">
            <v>92</v>
          </cell>
          <cell r="B106" t="str">
            <v>Soap B</v>
          </cell>
          <cell r="C106">
            <v>2.5</v>
          </cell>
          <cell r="D106">
            <v>6</v>
          </cell>
          <cell r="E106">
            <v>1.5</v>
          </cell>
          <cell r="F106">
            <v>3</v>
          </cell>
          <cell r="G106">
            <v>6</v>
          </cell>
          <cell r="H106">
            <v>5</v>
          </cell>
          <cell r="I106">
            <v>-0.5587199489339657</v>
          </cell>
          <cell r="J106">
            <v>1.1185788718036149</v>
          </cell>
          <cell r="K106">
            <v>0.59384320407576385</v>
          </cell>
          <cell r="P106">
            <v>2</v>
          </cell>
          <cell r="Q106">
            <v>6</v>
          </cell>
        </row>
        <row r="107">
          <cell r="A107">
            <v>93</v>
          </cell>
          <cell r="B107" t="str">
            <v>Soap B</v>
          </cell>
          <cell r="C107">
            <v>3.5</v>
          </cell>
          <cell r="D107">
            <v>2</v>
          </cell>
          <cell r="E107">
            <v>1.5</v>
          </cell>
          <cell r="F107">
            <v>3</v>
          </cell>
          <cell r="G107">
            <v>2</v>
          </cell>
          <cell r="H107">
            <v>5</v>
          </cell>
          <cell r="I107">
            <v>-0.5587199489339657</v>
          </cell>
          <cell r="J107">
            <v>-0.98488418593067284</v>
          </cell>
          <cell r="K107">
            <v>0.59384320407576385</v>
          </cell>
          <cell r="P107">
            <v>3</v>
          </cell>
          <cell r="Q107">
            <v>4</v>
          </cell>
        </row>
        <row r="108">
          <cell r="A108">
            <v>94</v>
          </cell>
          <cell r="B108" t="str">
            <v>Soap A</v>
          </cell>
          <cell r="C108">
            <v>2.2999999999999998</v>
          </cell>
          <cell r="D108">
            <v>5</v>
          </cell>
          <cell r="E108">
            <v>1</v>
          </cell>
          <cell r="F108">
            <v>4</v>
          </cell>
          <cell r="G108">
            <v>7</v>
          </cell>
          <cell r="H108">
            <v>5</v>
          </cell>
          <cell r="I108">
            <v>-3.1288317140302224E-2</v>
          </cell>
          <cell r="J108">
            <v>1.644444636237187</v>
          </cell>
          <cell r="K108">
            <v>0.59384320407576385</v>
          </cell>
          <cell r="P108">
            <v>2</v>
          </cell>
          <cell r="Q108">
            <v>6.4999999999999991</v>
          </cell>
        </row>
        <row r="109">
          <cell r="A109">
            <v>95</v>
          </cell>
          <cell r="B109" t="str">
            <v>Soap B</v>
          </cell>
          <cell r="C109">
            <v>3.5</v>
          </cell>
          <cell r="D109">
            <v>1</v>
          </cell>
          <cell r="E109">
            <v>1.5</v>
          </cell>
          <cell r="F109">
            <v>1</v>
          </cell>
          <cell r="G109">
            <v>1</v>
          </cell>
          <cell r="H109">
            <v>6</v>
          </cell>
          <cell r="I109">
            <v>-1.6135832125212926</v>
          </cell>
          <cell r="J109">
            <v>-1.5107499503642448</v>
          </cell>
          <cell r="K109">
            <v>1.1456030314847414</v>
          </cell>
          <cell r="P109">
            <v>3</v>
          </cell>
          <cell r="Q109">
            <v>2</v>
          </cell>
        </row>
        <row r="110">
          <cell r="A110">
            <v>96</v>
          </cell>
          <cell r="B110" t="str">
            <v>Soap B</v>
          </cell>
          <cell r="C110">
            <v>3</v>
          </cell>
          <cell r="D110">
            <v>5</v>
          </cell>
          <cell r="E110">
            <v>1.5</v>
          </cell>
          <cell r="F110">
            <v>4</v>
          </cell>
          <cell r="G110">
            <v>5</v>
          </cell>
          <cell r="H110">
            <v>3</v>
          </cell>
          <cell r="I110">
            <v>-3.1288317140302224E-2</v>
          </cell>
          <cell r="J110">
            <v>0.59271310737004301</v>
          </cell>
          <cell r="K110">
            <v>-0.50967645074219126</v>
          </cell>
          <cell r="P110">
            <v>2</v>
          </cell>
          <cell r="Q110">
            <v>7.5</v>
          </cell>
        </row>
        <row r="111">
          <cell r="A111">
            <v>97</v>
          </cell>
          <cell r="B111" t="str">
            <v>Soap A</v>
          </cell>
          <cell r="C111">
            <v>2.2999999999999998</v>
          </cell>
          <cell r="D111">
            <v>7</v>
          </cell>
          <cell r="E111">
            <v>1</v>
          </cell>
          <cell r="F111">
            <v>7</v>
          </cell>
          <cell r="G111">
            <v>5</v>
          </cell>
          <cell r="H111">
            <v>1</v>
          </cell>
          <cell r="I111">
            <v>1.5510065782406881</v>
          </cell>
          <cell r="J111">
            <v>0.59271310737004301</v>
          </cell>
          <cell r="K111">
            <v>-1.6131961055601465</v>
          </cell>
          <cell r="P111">
            <v>1</v>
          </cell>
          <cell r="Q111">
            <v>9.0999999999999979</v>
          </cell>
        </row>
        <row r="112">
          <cell r="A112">
            <v>98</v>
          </cell>
          <cell r="B112" t="str">
            <v>Soap B</v>
          </cell>
          <cell r="C112">
            <v>3</v>
          </cell>
          <cell r="D112">
            <v>6</v>
          </cell>
          <cell r="E112">
            <v>1.5</v>
          </cell>
          <cell r="F112">
            <v>5</v>
          </cell>
          <cell r="G112">
            <v>5</v>
          </cell>
          <cell r="H112">
            <v>5</v>
          </cell>
          <cell r="I112">
            <v>0.49614331465336126</v>
          </cell>
          <cell r="J112">
            <v>0.59271310737004301</v>
          </cell>
          <cell r="K112">
            <v>0.59384320407576385</v>
          </cell>
          <cell r="P112">
            <v>2</v>
          </cell>
          <cell r="Q112">
            <v>9</v>
          </cell>
        </row>
        <row r="113">
          <cell r="A113">
            <v>99</v>
          </cell>
          <cell r="B113" t="str">
            <v>Soap A</v>
          </cell>
          <cell r="C113">
            <v>2</v>
          </cell>
          <cell r="D113">
            <v>4</v>
          </cell>
          <cell r="E113">
            <v>1</v>
          </cell>
          <cell r="F113">
            <v>5</v>
          </cell>
          <cell r="G113">
            <v>7</v>
          </cell>
          <cell r="H113">
            <v>5</v>
          </cell>
          <cell r="I113">
            <v>0.49614331465336126</v>
          </cell>
          <cell r="J113">
            <v>1.644444636237187</v>
          </cell>
          <cell r="K113">
            <v>0.59384320407576385</v>
          </cell>
          <cell r="P113">
            <v>2</v>
          </cell>
          <cell r="Q113">
            <v>4</v>
          </cell>
        </row>
        <row r="114">
          <cell r="A114">
            <v>100</v>
          </cell>
          <cell r="B114" t="str">
            <v>Soap B</v>
          </cell>
          <cell r="C114">
            <v>2.5</v>
          </cell>
          <cell r="D114">
            <v>9</v>
          </cell>
          <cell r="E114">
            <v>1.5</v>
          </cell>
          <cell r="F114">
            <v>6</v>
          </cell>
          <cell r="G114">
            <v>3</v>
          </cell>
          <cell r="H114">
            <v>1</v>
          </cell>
          <cell r="I114">
            <v>1.0235749464470247</v>
          </cell>
          <cell r="J114">
            <v>-0.45901842149710087</v>
          </cell>
          <cell r="K114">
            <v>-1.6131961055601465</v>
          </cell>
          <cell r="P114">
            <v>1</v>
          </cell>
          <cell r="Q114">
            <v>9</v>
          </cell>
        </row>
        <row r="115">
          <cell r="A115">
            <v>101</v>
          </cell>
          <cell r="B115" t="str">
            <v>Soap A</v>
          </cell>
          <cell r="C115">
            <v>2.2999999999999998</v>
          </cell>
          <cell r="D115">
            <v>1</v>
          </cell>
          <cell r="E115">
            <v>1</v>
          </cell>
          <cell r="F115">
            <v>1</v>
          </cell>
          <cell r="G115">
            <v>3</v>
          </cell>
          <cell r="H115">
            <v>5</v>
          </cell>
          <cell r="I115">
            <v>-1.6135832125212926</v>
          </cell>
          <cell r="J115">
            <v>-0.45901842149710087</v>
          </cell>
          <cell r="K115">
            <v>0.59384320407576385</v>
          </cell>
          <cell r="P115">
            <v>3</v>
          </cell>
          <cell r="Q115">
            <v>1.2999999999999998</v>
          </cell>
        </row>
        <row r="116">
          <cell r="A116">
            <v>102</v>
          </cell>
          <cell r="B116" t="str">
            <v>Soap B</v>
          </cell>
          <cell r="C116">
            <v>3.5</v>
          </cell>
          <cell r="D116">
            <v>1</v>
          </cell>
          <cell r="E116">
            <v>1.5</v>
          </cell>
          <cell r="F116">
            <v>2</v>
          </cell>
          <cell r="G116">
            <v>1</v>
          </cell>
          <cell r="H116">
            <v>6</v>
          </cell>
          <cell r="I116">
            <v>-1.0861515807276292</v>
          </cell>
          <cell r="J116">
            <v>-1.5107499503642448</v>
          </cell>
          <cell r="K116">
            <v>1.1456030314847414</v>
          </cell>
          <cell r="P116">
            <v>3</v>
          </cell>
          <cell r="Q116">
            <v>2</v>
          </cell>
        </row>
        <row r="117">
          <cell r="A117">
            <v>103</v>
          </cell>
          <cell r="B117" t="str">
            <v>Soap B</v>
          </cell>
          <cell r="C117">
            <v>3.5</v>
          </cell>
          <cell r="D117">
            <v>1</v>
          </cell>
          <cell r="E117">
            <v>1.5</v>
          </cell>
          <cell r="F117">
            <v>1</v>
          </cell>
          <cell r="G117">
            <v>3</v>
          </cell>
          <cell r="H117">
            <v>5</v>
          </cell>
          <cell r="I117">
            <v>-1.6135832125212926</v>
          </cell>
          <cell r="J117">
            <v>-0.45901842149710087</v>
          </cell>
          <cell r="K117">
            <v>0.59384320407576385</v>
          </cell>
          <cell r="P117">
            <v>3</v>
          </cell>
          <cell r="Q117">
            <v>2</v>
          </cell>
        </row>
        <row r="118">
          <cell r="A118">
            <v>104</v>
          </cell>
          <cell r="B118" t="str">
            <v>Soap A</v>
          </cell>
          <cell r="C118">
            <v>2</v>
          </cell>
          <cell r="D118">
            <v>9</v>
          </cell>
          <cell r="E118">
            <v>1</v>
          </cell>
          <cell r="F118">
            <v>5</v>
          </cell>
          <cell r="G118">
            <v>4</v>
          </cell>
          <cell r="H118">
            <v>1</v>
          </cell>
          <cell r="I118">
            <v>0.49614331465336126</v>
          </cell>
          <cell r="J118">
            <v>6.6847342936471071E-2</v>
          </cell>
          <cell r="K118">
            <v>-1.6131961055601465</v>
          </cell>
          <cell r="P118">
            <v>1</v>
          </cell>
          <cell r="Q118">
            <v>9</v>
          </cell>
        </row>
        <row r="119">
          <cell r="A119">
            <v>105</v>
          </cell>
          <cell r="B119" t="str">
            <v>Soap B</v>
          </cell>
          <cell r="C119">
            <v>2.5</v>
          </cell>
          <cell r="D119">
            <v>9</v>
          </cell>
          <cell r="E119">
            <v>1.5</v>
          </cell>
          <cell r="F119">
            <v>6</v>
          </cell>
          <cell r="G119">
            <v>5</v>
          </cell>
          <cell r="H119">
            <v>3</v>
          </cell>
          <cell r="I119">
            <v>1.0235749464470247</v>
          </cell>
          <cell r="J119">
            <v>0.59271310737004301</v>
          </cell>
          <cell r="K119">
            <v>-0.50967645074219126</v>
          </cell>
          <cell r="P119">
            <v>1</v>
          </cell>
          <cell r="Q119">
            <v>9</v>
          </cell>
        </row>
        <row r="120">
          <cell r="A120">
            <v>106</v>
          </cell>
          <cell r="B120" t="str">
            <v>Soap B</v>
          </cell>
          <cell r="C120">
            <v>2.5</v>
          </cell>
          <cell r="D120">
            <v>7</v>
          </cell>
          <cell r="E120">
            <v>1.5</v>
          </cell>
          <cell r="F120">
            <v>7</v>
          </cell>
          <cell r="G120">
            <v>3</v>
          </cell>
          <cell r="H120">
            <v>3</v>
          </cell>
          <cell r="I120">
            <v>1.5510065782406881</v>
          </cell>
          <cell r="J120">
            <v>-0.45901842149710087</v>
          </cell>
          <cell r="K120">
            <v>-0.50967645074219126</v>
          </cell>
          <cell r="P120">
            <v>1</v>
          </cell>
          <cell r="Q120">
            <v>7</v>
          </cell>
        </row>
        <row r="121">
          <cell r="A121">
            <v>107</v>
          </cell>
          <cell r="B121" t="str">
            <v>Soap A</v>
          </cell>
          <cell r="C121">
            <v>2.2999999999999998</v>
          </cell>
          <cell r="D121">
            <v>2</v>
          </cell>
          <cell r="E121">
            <v>1</v>
          </cell>
          <cell r="F121">
            <v>1</v>
          </cell>
          <cell r="G121">
            <v>2</v>
          </cell>
          <cell r="H121">
            <v>6</v>
          </cell>
          <cell r="I121">
            <v>-1.6135832125212926</v>
          </cell>
          <cell r="J121">
            <v>-0.98488418593067284</v>
          </cell>
          <cell r="K121">
            <v>1.1456030314847414</v>
          </cell>
          <cell r="P121">
            <v>3</v>
          </cell>
          <cell r="Q121">
            <v>2.5999999999999996</v>
          </cell>
        </row>
        <row r="122">
          <cell r="A122">
            <v>108</v>
          </cell>
          <cell r="B122" t="str">
            <v>Soap B</v>
          </cell>
          <cell r="C122">
            <v>3</v>
          </cell>
          <cell r="D122">
            <v>7</v>
          </cell>
          <cell r="E122">
            <v>1.5</v>
          </cell>
          <cell r="F122">
            <v>7</v>
          </cell>
          <cell r="G122">
            <v>4</v>
          </cell>
          <cell r="H122">
            <v>3</v>
          </cell>
          <cell r="I122">
            <v>1.5510065782406881</v>
          </cell>
          <cell r="J122">
            <v>6.6847342936471071E-2</v>
          </cell>
          <cell r="K122">
            <v>-0.50967645074219126</v>
          </cell>
          <cell r="P122">
            <v>1</v>
          </cell>
          <cell r="Q122">
            <v>10.5</v>
          </cell>
        </row>
        <row r="123">
          <cell r="A123">
            <v>109</v>
          </cell>
          <cell r="B123" t="str">
            <v>Soap B</v>
          </cell>
          <cell r="C123">
            <v>3.5</v>
          </cell>
          <cell r="D123">
            <v>2</v>
          </cell>
          <cell r="E123">
            <v>1.5</v>
          </cell>
          <cell r="F123">
            <v>3</v>
          </cell>
          <cell r="G123">
            <v>3</v>
          </cell>
          <cell r="H123">
            <v>6</v>
          </cell>
          <cell r="I123">
            <v>-0.5587199489339657</v>
          </cell>
          <cell r="J123">
            <v>-0.45901842149710087</v>
          </cell>
          <cell r="K123">
            <v>1.1456030314847414</v>
          </cell>
          <cell r="P123">
            <v>3</v>
          </cell>
          <cell r="Q123">
            <v>4</v>
          </cell>
        </row>
        <row r="124">
          <cell r="A124">
            <v>110</v>
          </cell>
          <cell r="B124" t="str">
            <v>Soap B</v>
          </cell>
          <cell r="C124">
            <v>3.5</v>
          </cell>
          <cell r="D124">
            <v>1</v>
          </cell>
          <cell r="E124">
            <v>1.5</v>
          </cell>
          <cell r="F124">
            <v>2</v>
          </cell>
          <cell r="G124">
            <v>2</v>
          </cell>
          <cell r="H124">
            <v>5</v>
          </cell>
          <cell r="I124">
            <v>-1.0861515807276292</v>
          </cell>
          <cell r="J124">
            <v>-0.98488418593067284</v>
          </cell>
          <cell r="K124">
            <v>0.59384320407576385</v>
          </cell>
          <cell r="P124">
            <v>3</v>
          </cell>
          <cell r="Q124">
            <v>2</v>
          </cell>
        </row>
        <row r="125">
          <cell r="A125">
            <v>111</v>
          </cell>
          <cell r="B125" t="str">
            <v>Soap B</v>
          </cell>
          <cell r="C125">
            <v>3</v>
          </cell>
          <cell r="D125">
            <v>7</v>
          </cell>
          <cell r="E125">
            <v>1.5</v>
          </cell>
          <cell r="F125">
            <v>7</v>
          </cell>
          <cell r="G125">
            <v>3</v>
          </cell>
          <cell r="H125">
            <v>2</v>
          </cell>
          <cell r="I125">
            <v>1.5510065782406881</v>
          </cell>
          <cell r="J125">
            <v>-0.45901842149710087</v>
          </cell>
          <cell r="K125">
            <v>-1.0614362781511688</v>
          </cell>
          <cell r="P125">
            <v>1</v>
          </cell>
          <cell r="Q125">
            <v>10.5</v>
          </cell>
        </row>
        <row r="126">
          <cell r="A126">
            <v>112</v>
          </cell>
          <cell r="B126" t="str">
            <v>Soap A</v>
          </cell>
          <cell r="C126">
            <v>2.2999999999999998</v>
          </cell>
          <cell r="D126">
            <v>4</v>
          </cell>
          <cell r="E126">
            <v>1</v>
          </cell>
          <cell r="F126">
            <v>5</v>
          </cell>
          <cell r="G126">
            <v>7</v>
          </cell>
          <cell r="H126">
            <v>3</v>
          </cell>
          <cell r="I126">
            <v>0.49614331465336126</v>
          </cell>
          <cell r="J126">
            <v>1.644444636237187</v>
          </cell>
          <cell r="K126">
            <v>-0.50967645074219126</v>
          </cell>
          <cell r="P126">
            <v>2</v>
          </cell>
          <cell r="Q126">
            <v>5.1999999999999993</v>
          </cell>
        </row>
        <row r="127">
          <cell r="A127">
            <v>113</v>
          </cell>
          <cell r="B127" t="str">
            <v>Soap A</v>
          </cell>
          <cell r="C127">
            <v>2</v>
          </cell>
          <cell r="D127">
            <v>8</v>
          </cell>
          <cell r="E127">
            <v>1</v>
          </cell>
          <cell r="F127">
            <v>5</v>
          </cell>
          <cell r="G127">
            <v>3</v>
          </cell>
          <cell r="H127">
            <v>2</v>
          </cell>
          <cell r="I127">
            <v>0.49614331465336126</v>
          </cell>
          <cell r="J127">
            <v>-0.45901842149710087</v>
          </cell>
          <cell r="K127">
            <v>-1.0614362781511688</v>
          </cell>
          <cell r="P127">
            <v>1</v>
          </cell>
          <cell r="Q127">
            <v>8</v>
          </cell>
        </row>
        <row r="128">
          <cell r="A128">
            <v>114</v>
          </cell>
          <cell r="B128" t="str">
            <v>Soap A</v>
          </cell>
          <cell r="C128">
            <v>2.2999999999999998</v>
          </cell>
          <cell r="D128">
            <v>6</v>
          </cell>
          <cell r="E128">
            <v>1</v>
          </cell>
          <cell r="F128">
            <v>3</v>
          </cell>
          <cell r="G128">
            <v>7</v>
          </cell>
          <cell r="H128">
            <v>5</v>
          </cell>
          <cell r="I128">
            <v>-0.5587199489339657</v>
          </cell>
          <cell r="J128">
            <v>1.644444636237187</v>
          </cell>
          <cell r="K128">
            <v>0.59384320407576385</v>
          </cell>
          <cell r="P128">
            <v>2</v>
          </cell>
          <cell r="Q128">
            <v>7.7999999999999989</v>
          </cell>
        </row>
        <row r="129">
          <cell r="A129">
            <v>115</v>
          </cell>
          <cell r="B129" t="str">
            <v>Soap B</v>
          </cell>
          <cell r="C129">
            <v>2.5</v>
          </cell>
          <cell r="D129">
            <v>8</v>
          </cell>
          <cell r="E129">
            <v>1.5</v>
          </cell>
          <cell r="F129">
            <v>5</v>
          </cell>
          <cell r="G129">
            <v>5</v>
          </cell>
          <cell r="H129">
            <v>1</v>
          </cell>
          <cell r="I129">
            <v>0.49614331465336126</v>
          </cell>
          <cell r="J129">
            <v>0.59271310737004301</v>
          </cell>
          <cell r="K129">
            <v>-1.6131961055601465</v>
          </cell>
          <cell r="P129">
            <v>1</v>
          </cell>
          <cell r="Q129">
            <v>8</v>
          </cell>
        </row>
        <row r="130">
          <cell r="A130">
            <v>116</v>
          </cell>
          <cell r="B130" t="str">
            <v>Soap B</v>
          </cell>
          <cell r="C130">
            <v>3.5</v>
          </cell>
          <cell r="D130">
            <v>2</v>
          </cell>
          <cell r="E130">
            <v>1.5</v>
          </cell>
          <cell r="F130">
            <v>1</v>
          </cell>
          <cell r="G130">
            <v>3</v>
          </cell>
          <cell r="H130">
            <v>6</v>
          </cell>
          <cell r="I130">
            <v>-1.6135832125212926</v>
          </cell>
          <cell r="J130">
            <v>-0.45901842149710087</v>
          </cell>
          <cell r="K130">
            <v>1.1456030314847414</v>
          </cell>
          <cell r="P130">
            <v>3</v>
          </cell>
          <cell r="Q130">
            <v>4</v>
          </cell>
        </row>
        <row r="131">
          <cell r="A131">
            <v>117</v>
          </cell>
          <cell r="B131" t="str">
            <v>Soap B</v>
          </cell>
          <cell r="C131">
            <v>2.5</v>
          </cell>
          <cell r="D131">
            <v>9</v>
          </cell>
          <cell r="E131">
            <v>1.5</v>
          </cell>
          <cell r="F131">
            <v>6</v>
          </cell>
          <cell r="G131">
            <v>4</v>
          </cell>
          <cell r="H131">
            <v>2</v>
          </cell>
          <cell r="I131">
            <v>1.0235749464470247</v>
          </cell>
          <cell r="J131">
            <v>6.6847342936471071E-2</v>
          </cell>
          <cell r="K131">
            <v>-1.0614362781511688</v>
          </cell>
          <cell r="P131">
            <v>1</v>
          </cell>
          <cell r="Q131">
            <v>9</v>
          </cell>
        </row>
        <row r="132">
          <cell r="A132">
            <v>118</v>
          </cell>
          <cell r="B132" t="str">
            <v>Soap B</v>
          </cell>
          <cell r="C132">
            <v>3</v>
          </cell>
          <cell r="D132">
            <v>7</v>
          </cell>
          <cell r="E132">
            <v>1.5</v>
          </cell>
          <cell r="F132">
            <v>5</v>
          </cell>
          <cell r="G132">
            <v>3</v>
          </cell>
          <cell r="H132">
            <v>2</v>
          </cell>
          <cell r="I132">
            <v>0.49614331465336126</v>
          </cell>
          <cell r="J132">
            <v>-0.45901842149710087</v>
          </cell>
          <cell r="K132">
            <v>-1.0614362781511688</v>
          </cell>
          <cell r="P132">
            <v>1</v>
          </cell>
          <cell r="Q132">
            <v>10.5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1">
          <cell r="J11">
            <v>2</v>
          </cell>
          <cell r="K11">
            <v>2</v>
          </cell>
          <cell r="L11">
            <v>4</v>
          </cell>
        </row>
        <row r="12">
          <cell r="J12">
            <v>1</v>
          </cell>
          <cell r="K12">
            <v>4</v>
          </cell>
          <cell r="L12">
            <v>3</v>
          </cell>
        </row>
        <row r="13">
          <cell r="J13">
            <v>4</v>
          </cell>
          <cell r="K13">
            <v>1</v>
          </cell>
          <cell r="L13">
            <v>3</v>
          </cell>
        </row>
        <row r="14">
          <cell r="J14">
            <v>1</v>
          </cell>
          <cell r="K14">
            <v>3</v>
          </cell>
          <cell r="L14">
            <v>3</v>
          </cell>
        </row>
        <row r="15">
          <cell r="J15">
            <v>3</v>
          </cell>
          <cell r="K15">
            <v>1</v>
          </cell>
          <cell r="L15">
            <v>4</v>
          </cell>
        </row>
        <row r="16">
          <cell r="J16">
            <v>2</v>
          </cell>
          <cell r="K16">
            <v>4</v>
          </cell>
          <cell r="L16">
            <v>3</v>
          </cell>
        </row>
        <row r="17">
          <cell r="J17">
            <v>3</v>
          </cell>
          <cell r="K17">
            <v>1</v>
          </cell>
          <cell r="L17">
            <v>1</v>
          </cell>
        </row>
        <row r="18">
          <cell r="J18">
            <v>2</v>
          </cell>
          <cell r="K18">
            <v>1</v>
          </cell>
          <cell r="L18">
            <v>1</v>
          </cell>
        </row>
        <row r="19">
          <cell r="J19">
            <v>3</v>
          </cell>
          <cell r="K19">
            <v>4</v>
          </cell>
          <cell r="L19">
            <v>4</v>
          </cell>
        </row>
        <row r="20">
          <cell r="J20">
            <v>4</v>
          </cell>
          <cell r="K20">
            <v>1</v>
          </cell>
          <cell r="L20">
            <v>1</v>
          </cell>
        </row>
        <row r="21">
          <cell r="J21">
            <v>1</v>
          </cell>
          <cell r="K21">
            <v>3</v>
          </cell>
          <cell r="L21">
            <v>2</v>
          </cell>
        </row>
        <row r="22">
          <cell r="J22">
            <v>3</v>
          </cell>
          <cell r="K22">
            <v>2</v>
          </cell>
          <cell r="L22">
            <v>2</v>
          </cell>
        </row>
        <row r="23">
          <cell r="J23">
            <v>2</v>
          </cell>
          <cell r="K23">
            <v>3</v>
          </cell>
          <cell r="L23">
            <v>2</v>
          </cell>
        </row>
        <row r="24">
          <cell r="J24">
            <v>4</v>
          </cell>
          <cell r="K24">
            <v>1</v>
          </cell>
          <cell r="L24">
            <v>1</v>
          </cell>
        </row>
        <row r="25">
          <cell r="J25">
            <v>1</v>
          </cell>
          <cell r="K25">
            <v>4</v>
          </cell>
          <cell r="L25">
            <v>4</v>
          </cell>
        </row>
        <row r="26">
          <cell r="J26">
            <v>4</v>
          </cell>
          <cell r="K26">
            <v>2</v>
          </cell>
          <cell r="L26">
            <v>2</v>
          </cell>
        </row>
        <row r="27">
          <cell r="J27">
            <v>3</v>
          </cell>
          <cell r="K27">
            <v>3</v>
          </cell>
          <cell r="L27">
            <v>2</v>
          </cell>
        </row>
        <row r="28">
          <cell r="J28">
            <v>1</v>
          </cell>
          <cell r="K28">
            <v>4</v>
          </cell>
          <cell r="L28">
            <v>3</v>
          </cell>
        </row>
        <row r="29">
          <cell r="J29">
            <v>3</v>
          </cell>
          <cell r="K29">
            <v>1</v>
          </cell>
          <cell r="L29">
            <v>1</v>
          </cell>
        </row>
        <row r="30">
          <cell r="J30">
            <v>2</v>
          </cell>
          <cell r="K30">
            <v>3</v>
          </cell>
          <cell r="L30">
            <v>4</v>
          </cell>
        </row>
      </sheetData>
      <sheetData sheetId="23"/>
      <sheetData sheetId="24"/>
      <sheetData sheetId="25">
        <row r="11">
          <cell r="A11">
            <v>1</v>
          </cell>
          <cell r="B11" t="str">
            <v>Bergstad's Supply</v>
          </cell>
          <cell r="C11">
            <v>2</v>
          </cell>
          <cell r="D11">
            <v>2</v>
          </cell>
          <cell r="E11">
            <v>4</v>
          </cell>
          <cell r="F11">
            <v>43073</v>
          </cell>
          <cell r="G11">
            <v>10</v>
          </cell>
          <cell r="H11">
            <v>37600</v>
          </cell>
          <cell r="I11">
            <v>8.1673271795001714</v>
          </cell>
          <cell r="J11">
            <v>5.6415241282893591</v>
          </cell>
          <cell r="K11">
            <v>9.8567536554873332</v>
          </cell>
          <cell r="L11">
            <v>5.8522509615079983</v>
          </cell>
          <cell r="M11">
            <v>0.520715112196803</v>
          </cell>
          <cell r="N11">
            <v>-0.31008832924514818</v>
          </cell>
          <cell r="O11">
            <v>0.90520918173801346</v>
          </cell>
          <cell r="P11">
            <v>1.0872537158820748</v>
          </cell>
          <cell r="Q11">
            <v>-0.63054064243295993</v>
          </cell>
          <cell r="R11">
            <v>1.1774436514114761</v>
          </cell>
          <cell r="S11">
            <v>-0.50437783626809851</v>
          </cell>
        </row>
        <row r="12">
          <cell r="A12">
            <v>2</v>
          </cell>
          <cell r="B12" t="str">
            <v>Blum's Goods</v>
          </cell>
          <cell r="C12">
            <v>1</v>
          </cell>
          <cell r="D12">
            <v>4</v>
          </cell>
          <cell r="E12">
            <v>3</v>
          </cell>
          <cell r="F12">
            <v>43086</v>
          </cell>
          <cell r="G12">
            <v>41</v>
          </cell>
          <cell r="H12">
            <v>37517</v>
          </cell>
          <cell r="I12">
            <v>8.8434785824764575</v>
          </cell>
          <cell r="J12">
            <v>7.7544299816348667</v>
          </cell>
          <cell r="K12">
            <v>7.3109959012078534</v>
          </cell>
          <cell r="L12">
            <v>6.5628217875697548</v>
          </cell>
          <cell r="M12">
            <v>0.83630002867975672</v>
          </cell>
          <cell r="N12">
            <v>3.0046489833754015</v>
          </cell>
          <cell r="O12">
            <v>0.90013510497185023</v>
          </cell>
          <cell r="P12">
            <v>1.5290201368288177</v>
          </cell>
          <cell r="Q12">
            <v>0.41104886405185215</v>
          </cell>
          <cell r="R12">
            <v>-9.0002897795385423E-2</v>
          </cell>
          <cell r="S12">
            <v>-0.13462018928255451</v>
          </cell>
        </row>
        <row r="13">
          <cell r="A13">
            <v>3</v>
          </cell>
          <cell r="B13" t="str">
            <v>Cherry Creek Inc</v>
          </cell>
          <cell r="C13">
            <v>4</v>
          </cell>
          <cell r="D13">
            <v>1</v>
          </cell>
          <cell r="E13">
            <v>3</v>
          </cell>
          <cell r="F13">
            <v>42996</v>
          </cell>
          <cell r="G13">
            <v>5</v>
          </cell>
          <cell r="H13">
            <v>37553</v>
          </cell>
          <cell r="I13">
            <v>4.9191620645845218</v>
          </cell>
          <cell r="J13">
            <v>5.14565395311564</v>
          </cell>
          <cell r="K13">
            <v>9.1969779833493899</v>
          </cell>
          <cell r="L13">
            <v>5.837503454096038</v>
          </cell>
          <cell r="M13">
            <v>-1.3485186238945384</v>
          </cell>
          <cell r="N13">
            <v>-0.84472337966781741</v>
          </cell>
          <cell r="O13">
            <v>0.90233590935235475</v>
          </cell>
          <cell r="P13">
            <v>-1.0349489019695932</v>
          </cell>
          <cell r="Q13">
            <v>-0.8749874880990518</v>
          </cell>
          <cell r="R13">
            <v>0.84896369392292459</v>
          </cell>
          <cell r="S13">
            <v>-0.51205195324496744</v>
          </cell>
        </row>
        <row r="14">
          <cell r="A14">
            <v>4</v>
          </cell>
          <cell r="B14" t="str">
            <v>Consolidated Holdings</v>
          </cell>
          <cell r="C14">
            <v>1</v>
          </cell>
          <cell r="D14">
            <v>3</v>
          </cell>
          <cell r="E14">
            <v>3</v>
          </cell>
          <cell r="F14">
            <v>43085</v>
          </cell>
          <cell r="G14">
            <v>11</v>
          </cell>
          <cell r="H14">
            <v>37587</v>
          </cell>
          <cell r="I14">
            <v>4.584487981346574</v>
          </cell>
          <cell r="J14">
            <v>9.428789123717543</v>
          </cell>
          <cell r="K14">
            <v>5.4848904606311795</v>
          </cell>
          <cell r="L14">
            <v>4.3510805698945774</v>
          </cell>
          <cell r="M14">
            <v>0.81202426587337562</v>
          </cell>
          <cell r="N14">
            <v>-0.20316131916061436</v>
          </cell>
          <cell r="O14">
            <v>0.90441444682283123</v>
          </cell>
          <cell r="P14">
            <v>-1.2536096505606091</v>
          </cell>
          <cell r="Q14">
            <v>1.2364500099282016</v>
          </cell>
          <cell r="R14">
            <v>-0.99915893797873201</v>
          </cell>
          <cell r="S14">
            <v>-1.2855374495943912</v>
          </cell>
        </row>
        <row r="15">
          <cell r="A15">
            <v>5</v>
          </cell>
          <cell r="B15" t="str">
            <v>Dollarwise Corp</v>
          </cell>
          <cell r="C15">
            <v>3</v>
          </cell>
          <cell r="D15">
            <v>1</v>
          </cell>
          <cell r="E15">
            <v>4</v>
          </cell>
          <cell r="F15">
            <v>43053</v>
          </cell>
          <cell r="G15">
            <v>7</v>
          </cell>
          <cell r="H15">
            <v>37590</v>
          </cell>
          <cell r="I15">
            <v>4.5964874397234921</v>
          </cell>
          <cell r="J15">
            <v>4.5268592636652016</v>
          </cell>
          <cell r="K15">
            <v>5.52203981805566</v>
          </cell>
          <cell r="L15">
            <v>9.6267552801836231</v>
          </cell>
          <cell r="M15">
            <v>3.5199856069181877E-2</v>
          </cell>
          <cell r="N15">
            <v>-0.63086935949874978</v>
          </cell>
          <cell r="O15">
            <v>0.90459784718787328</v>
          </cell>
          <cell r="P15">
            <v>-1.2457697529324496</v>
          </cell>
          <cell r="Q15">
            <v>-1.1800318677052593</v>
          </cell>
          <cell r="R15">
            <v>-0.98066353133850492</v>
          </cell>
          <cell r="S15">
            <v>1.4597498540643148</v>
          </cell>
        </row>
        <row r="16">
          <cell r="A16">
            <v>6</v>
          </cell>
          <cell r="B16" t="str">
            <v>Dunn's Holdings</v>
          </cell>
          <cell r="C16">
            <v>2</v>
          </cell>
          <cell r="D16">
            <v>4</v>
          </cell>
          <cell r="E16">
            <v>3</v>
          </cell>
          <cell r="F16">
            <v>43076</v>
          </cell>
          <cell r="G16">
            <v>24</v>
          </cell>
          <cell r="H16">
            <v>37581</v>
          </cell>
          <cell r="I16">
            <v>5.1983815304005727</v>
          </cell>
          <cell r="J16">
            <v>6.406262969448365</v>
          </cell>
          <cell r="K16">
            <v>4.0821564815855913</v>
          </cell>
          <cell r="L16">
            <v>5.411725752866551</v>
          </cell>
          <cell r="M16">
            <v>0.59354240061594621</v>
          </cell>
          <cell r="N16">
            <v>1.1868898119383258</v>
          </cell>
          <cell r="O16">
            <v>0.90404764609274724</v>
          </cell>
          <cell r="P16">
            <v>-0.85251966566355775</v>
          </cell>
          <cell r="Q16">
            <v>-0.25355084381445842</v>
          </cell>
          <cell r="R16">
            <v>-1.6975326690251618</v>
          </cell>
          <cell r="S16">
            <v>-0.73361264103465473</v>
          </cell>
        </row>
        <row r="17">
          <cell r="A17">
            <v>7</v>
          </cell>
          <cell r="B17" t="str">
            <v>Empire Trading</v>
          </cell>
          <cell r="C17">
            <v>3</v>
          </cell>
          <cell r="D17">
            <v>1</v>
          </cell>
          <cell r="E17">
            <v>1</v>
          </cell>
          <cell r="F17">
            <v>43032</v>
          </cell>
          <cell r="G17">
            <v>3</v>
          </cell>
          <cell r="H17">
            <v>3172</v>
          </cell>
          <cell r="I17">
            <v>4.7140291888327646</v>
          </cell>
          <cell r="J17">
            <v>7.9356016200483834</v>
          </cell>
          <cell r="K17">
            <v>8.5212457098514527</v>
          </cell>
          <cell r="L17">
            <v>6.9001140897335747</v>
          </cell>
          <cell r="M17">
            <v>-0.47459116286482028</v>
          </cell>
          <cell r="N17">
            <v>-1.0585773998368853</v>
          </cell>
          <cell r="O17">
            <v>-1.1994934074844765</v>
          </cell>
          <cell r="P17">
            <v>-1.1689733467026391</v>
          </cell>
          <cell r="Q17">
            <v>0.50036021559427313</v>
          </cell>
          <cell r="R17">
            <v>0.51253948514149317</v>
          </cell>
          <cell r="S17">
            <v>4.0895612126933538E-2</v>
          </cell>
        </row>
        <row r="18">
          <cell r="A18">
            <v>8</v>
          </cell>
          <cell r="B18" t="str">
            <v>Fraser Distributors</v>
          </cell>
          <cell r="C18">
            <v>2</v>
          </cell>
          <cell r="D18">
            <v>1</v>
          </cell>
          <cell r="E18">
            <v>1</v>
          </cell>
          <cell r="F18">
            <v>43069</v>
          </cell>
          <cell r="G18">
            <v>7</v>
          </cell>
          <cell r="H18">
            <v>1832</v>
          </cell>
          <cell r="I18">
            <v>4.7388254081855097</v>
          </cell>
          <cell r="J18">
            <v>4.6733421826995363</v>
          </cell>
          <cell r="K18">
            <v>7.0256381986670799</v>
          </cell>
          <cell r="L18">
            <v>4.1910765018189471</v>
          </cell>
          <cell r="M18">
            <v>0.42361206097127879</v>
          </cell>
          <cell r="N18">
            <v>-0.63086935949874978</v>
          </cell>
          <cell r="O18">
            <v>-1.2814122372032559</v>
          </cell>
          <cell r="P18">
            <v>-1.1527726303715709</v>
          </cell>
          <cell r="Q18">
            <v>-1.1078208550357431</v>
          </cell>
          <cell r="R18">
            <v>-0.23207283149858871</v>
          </cell>
          <cell r="S18">
            <v>-1.3687982950299704</v>
          </cell>
        </row>
        <row r="19">
          <cell r="A19">
            <v>9</v>
          </cell>
          <cell r="B19" t="str">
            <v>Gorham Street Corp</v>
          </cell>
          <cell r="C19">
            <v>3</v>
          </cell>
          <cell r="D19">
            <v>4</v>
          </cell>
          <cell r="E19">
            <v>4</v>
          </cell>
          <cell r="F19">
            <v>43060</v>
          </cell>
          <cell r="G19">
            <v>20</v>
          </cell>
          <cell r="H19">
            <v>37613</v>
          </cell>
          <cell r="I19">
            <v>5.7235233991612171</v>
          </cell>
          <cell r="J19">
            <v>5.1967198254429485</v>
          </cell>
          <cell r="K19">
            <v>8.1889303437858683</v>
          </cell>
          <cell r="L19">
            <v>6.9174210216651719</v>
          </cell>
          <cell r="M19">
            <v>0.20513019571384927</v>
          </cell>
          <cell r="N19">
            <v>0.75918177160019029</v>
          </cell>
          <cell r="O19">
            <v>0.90600391665319568</v>
          </cell>
          <cell r="P19">
            <v>-0.50941597197823918</v>
          </cell>
          <cell r="Q19">
            <v>-0.84981377926039303</v>
          </cell>
          <cell r="R19">
            <v>0.34709092144362907</v>
          </cell>
          <cell r="S19">
            <v>4.990156929947049E-2</v>
          </cell>
        </row>
        <row r="20">
          <cell r="A20">
            <v>10</v>
          </cell>
          <cell r="B20" t="str">
            <v>Hanover Supply</v>
          </cell>
          <cell r="C20">
            <v>4</v>
          </cell>
          <cell r="D20">
            <v>1</v>
          </cell>
          <cell r="E20">
            <v>1</v>
          </cell>
          <cell r="F20">
            <v>43013</v>
          </cell>
          <cell r="G20">
            <v>7</v>
          </cell>
          <cell r="H20">
            <v>1941</v>
          </cell>
          <cell r="I20">
            <v>7.7369194652166451</v>
          </cell>
          <cell r="J20">
            <v>9.3871495110063599</v>
          </cell>
          <cell r="K20">
            <v>7.4244373061768103</v>
          </cell>
          <cell r="L20">
            <v>7.7590389059401792</v>
          </cell>
          <cell r="M20">
            <v>-0.93583065618606032</v>
          </cell>
          <cell r="N20">
            <v>-0.63086935949874978</v>
          </cell>
          <cell r="O20">
            <v>-1.2747486906067282</v>
          </cell>
          <cell r="P20">
            <v>0.80604498859119866</v>
          </cell>
          <cell r="Q20">
            <v>1.2159231210536279</v>
          </cell>
          <cell r="R20">
            <v>-3.3524265049051483E-2</v>
          </cell>
          <cell r="S20">
            <v>0.48785178782340444</v>
          </cell>
        </row>
        <row r="21">
          <cell r="A21">
            <v>11</v>
          </cell>
          <cell r="B21" t="str">
            <v>Highbridge Marketing</v>
          </cell>
          <cell r="C21">
            <v>1</v>
          </cell>
          <cell r="D21">
            <v>3</v>
          </cell>
          <cell r="E21">
            <v>2</v>
          </cell>
          <cell r="F21">
            <v>43092</v>
          </cell>
          <cell r="G21">
            <v>12</v>
          </cell>
          <cell r="H21">
            <v>14220</v>
          </cell>
          <cell r="I21">
            <v>7.7646179130513646</v>
          </cell>
          <cell r="J21">
            <v>4.8692503535100542</v>
          </cell>
          <cell r="K21">
            <v>7.5031105505289197</v>
          </cell>
          <cell r="L21">
            <v>4.4935545794001719</v>
          </cell>
          <cell r="M21">
            <v>0.98195460551804303</v>
          </cell>
          <cell r="N21">
            <v>-9.6234309076080507E-2</v>
          </cell>
          <cell r="O21">
            <v>-0.52409099648964463</v>
          </cell>
          <cell r="P21">
            <v>0.82414188835634383</v>
          </cell>
          <cell r="Q21">
            <v>-1.0112449027150214</v>
          </cell>
          <cell r="R21">
            <v>5.6444782853712263E-3</v>
          </cell>
          <cell r="S21">
            <v>-1.2113986690827268</v>
          </cell>
        </row>
        <row r="22">
          <cell r="A22">
            <v>12</v>
          </cell>
          <cell r="B22" t="str">
            <v>Island Trading</v>
          </cell>
          <cell r="C22">
            <v>3</v>
          </cell>
          <cell r="D22">
            <v>2</v>
          </cell>
          <cell r="E22">
            <v>2</v>
          </cell>
          <cell r="F22">
            <v>43063</v>
          </cell>
          <cell r="G22">
            <v>10</v>
          </cell>
          <cell r="H22">
            <v>10036</v>
          </cell>
          <cell r="I22">
            <v>7.9094863782830815</v>
          </cell>
          <cell r="J22">
            <v>7.370132134768383</v>
          </cell>
          <cell r="K22">
            <v>4.6547140447890181</v>
          </cell>
          <cell r="L22">
            <v>9.7086059103075701</v>
          </cell>
          <cell r="M22">
            <v>0.27795748413299243</v>
          </cell>
          <cell r="N22">
            <v>-0.31008832924514818</v>
          </cell>
          <cell r="O22">
            <v>-0.77987337226828124</v>
          </cell>
          <cell r="P22">
            <v>0.91879232184173854</v>
          </cell>
          <cell r="Q22">
            <v>0.22160331728172741</v>
          </cell>
          <cell r="R22">
            <v>-1.41247565349233</v>
          </cell>
          <cell r="S22">
            <v>1.5023422252803607</v>
          </cell>
        </row>
        <row r="23">
          <cell r="A23">
            <v>13</v>
          </cell>
          <cell r="B23" t="str">
            <v>Kingsgate Goods</v>
          </cell>
          <cell r="C23">
            <v>2</v>
          </cell>
          <cell r="D23">
            <v>3</v>
          </cell>
          <cell r="E23">
            <v>2</v>
          </cell>
          <cell r="F23">
            <v>43070</v>
          </cell>
          <cell r="G23">
            <v>11</v>
          </cell>
          <cell r="H23">
            <v>30350</v>
          </cell>
          <cell r="I23">
            <v>7.6237152667299659</v>
          </cell>
          <cell r="J23">
            <v>9.907697795200237</v>
          </cell>
          <cell r="K23">
            <v>9.1500463585531708</v>
          </cell>
          <cell r="L23">
            <v>5.5542357224150614</v>
          </cell>
          <cell r="M23">
            <v>0.44788782377765984</v>
          </cell>
          <cell r="N23">
            <v>-0.20316131916061436</v>
          </cell>
          <cell r="O23">
            <v>0.4619916328864086</v>
          </cell>
          <cell r="P23">
            <v>0.73208253967595349</v>
          </cell>
          <cell r="Q23">
            <v>1.4725354209232684</v>
          </cell>
          <cell r="R23">
            <v>0.8255980277291769</v>
          </cell>
          <cell r="S23">
            <v>-0.65945514810141825</v>
          </cell>
        </row>
        <row r="24">
          <cell r="A24">
            <v>14</v>
          </cell>
          <cell r="B24" t="str">
            <v>Lillegard Drugs</v>
          </cell>
          <cell r="C24">
            <v>4</v>
          </cell>
          <cell r="D24">
            <v>1</v>
          </cell>
          <cell r="E24">
            <v>1</v>
          </cell>
          <cell r="F24">
            <v>42936</v>
          </cell>
          <cell r="G24">
            <v>3</v>
          </cell>
          <cell r="H24">
            <v>3155</v>
          </cell>
          <cell r="I24">
            <v>4.5101671687934539</v>
          </cell>
          <cell r="J24">
            <v>9.2200163563652566</v>
          </cell>
          <cell r="K24">
            <v>9.8871736950305138</v>
          </cell>
          <cell r="L24">
            <v>6.519103358156757</v>
          </cell>
          <cell r="M24">
            <v>-2.8050643922774015</v>
          </cell>
          <cell r="N24">
            <v>-1.0585773998368853</v>
          </cell>
          <cell r="O24">
            <v>-1.2005326762197146</v>
          </cell>
          <cell r="P24">
            <v>-1.3021674724018768</v>
          </cell>
          <cell r="Q24">
            <v>1.1335322564610397</v>
          </cell>
          <cell r="R24">
            <v>1.1925887586318813</v>
          </cell>
          <cell r="S24">
            <v>-0.15736981957521265</v>
          </cell>
        </row>
        <row r="25">
          <cell r="A25">
            <v>15</v>
          </cell>
          <cell r="B25" t="str">
            <v>Margot Marketing Inc.</v>
          </cell>
          <cell r="C25">
            <v>1</v>
          </cell>
          <cell r="D25">
            <v>4</v>
          </cell>
          <cell r="E25">
            <v>4</v>
          </cell>
          <cell r="F25">
            <v>43093</v>
          </cell>
          <cell r="G25">
            <v>25</v>
          </cell>
          <cell r="H25">
            <v>37614</v>
          </cell>
          <cell r="I25">
            <v>5.4097235119573135</v>
          </cell>
          <cell r="J25">
            <v>4.8643971725020716</v>
          </cell>
          <cell r="K25">
            <v>8.114628982250089</v>
          </cell>
          <cell r="L25">
            <v>5.1077199787633329</v>
          </cell>
          <cell r="M25">
            <v>1.006230368324424</v>
          </cell>
          <cell r="N25">
            <v>1.2938168220228596</v>
          </cell>
          <cell r="O25">
            <v>0.9060650501082097</v>
          </cell>
          <cell r="P25">
            <v>-0.71443847500545243</v>
          </cell>
          <cell r="Q25">
            <v>-1.0136373530946643</v>
          </cell>
          <cell r="R25">
            <v>0.31009879046746386</v>
          </cell>
          <cell r="S25">
            <v>-0.89180722991952854</v>
          </cell>
        </row>
        <row r="26">
          <cell r="A26">
            <v>16</v>
          </cell>
          <cell r="B26" t="str">
            <v>Oceanview LLC</v>
          </cell>
          <cell r="C26">
            <v>4</v>
          </cell>
          <cell r="D26">
            <v>2</v>
          </cell>
          <cell r="E26">
            <v>2</v>
          </cell>
          <cell r="F26">
            <v>42989</v>
          </cell>
          <cell r="G26">
            <v>8</v>
          </cell>
          <cell r="H26">
            <v>5050</v>
          </cell>
          <cell r="I26">
            <v>7.6239587988328044</v>
          </cell>
          <cell r="J26">
            <v>4.1820519766478581</v>
          </cell>
          <cell r="K26">
            <v>4.7823336981822475</v>
          </cell>
          <cell r="L26">
            <v>9.6640497791657918</v>
          </cell>
          <cell r="M26">
            <v>-1.5184489635392058</v>
          </cell>
          <cell r="N26">
            <v>-0.52394234941421591</v>
          </cell>
          <cell r="O26">
            <v>-1.0846847789681573</v>
          </cell>
          <cell r="P26">
            <v>0.73224165242049999</v>
          </cell>
          <cell r="Q26">
            <v>-1.3500099343323637</v>
          </cell>
          <cell r="R26">
            <v>-1.3489381511387315</v>
          </cell>
          <cell r="S26">
            <v>1.479156682607474</v>
          </cell>
        </row>
        <row r="27">
          <cell r="A27">
            <v>17</v>
          </cell>
          <cell r="B27" t="str">
            <v>Piccadilly</v>
          </cell>
          <cell r="C27">
            <v>3</v>
          </cell>
          <cell r="D27">
            <v>3</v>
          </cell>
          <cell r="E27">
            <v>2</v>
          </cell>
          <cell r="F27">
            <v>43046</v>
          </cell>
          <cell r="G27">
            <v>14</v>
          </cell>
          <cell r="H27">
            <v>8276</v>
          </cell>
          <cell r="I27">
            <v>7.7359519630039539</v>
          </cell>
          <cell r="J27">
            <v>9.8161799324668522</v>
          </cell>
          <cell r="K27">
            <v>4.4482692850391752</v>
          </cell>
          <cell r="L27">
            <v>6.1664626904715485</v>
          </cell>
          <cell r="M27">
            <v>-0.1347304835754855</v>
          </cell>
          <cell r="N27">
            <v>0.1176197110929872</v>
          </cell>
          <cell r="O27">
            <v>-0.88746825309294664</v>
          </cell>
          <cell r="P27">
            <v>0.80541286686834601</v>
          </cell>
          <cell r="Q27">
            <v>1.4274202799300821</v>
          </cell>
          <cell r="R27">
            <v>-1.5152575061281219</v>
          </cell>
          <cell r="S27">
            <v>-0.3408724047254808</v>
          </cell>
        </row>
        <row r="28">
          <cell r="A28">
            <v>18</v>
          </cell>
          <cell r="B28" t="str">
            <v>Quality Plus Drug Supply</v>
          </cell>
          <cell r="C28">
            <v>1</v>
          </cell>
          <cell r="D28">
            <v>4</v>
          </cell>
          <cell r="E28">
            <v>3</v>
          </cell>
          <cell r="F28">
            <v>43084</v>
          </cell>
          <cell r="G28">
            <v>20</v>
          </cell>
          <cell r="H28">
            <v>37571</v>
          </cell>
          <cell r="I28">
            <v>8.1176877548032138</v>
          </cell>
          <cell r="J28">
            <v>9.0821792817376501</v>
          </cell>
          <cell r="K28">
            <v>9.0122455194752344</v>
          </cell>
          <cell r="L28">
            <v>6.2923617355434027</v>
          </cell>
          <cell r="M28">
            <v>0.78774850306699462</v>
          </cell>
          <cell r="N28">
            <v>0.75918177160019029</v>
          </cell>
          <cell r="O28">
            <v>0.90343631154260706</v>
          </cell>
          <cell r="P28">
            <v>1.0548215847207654</v>
          </cell>
          <cell r="Q28">
            <v>1.065583346049648</v>
          </cell>
          <cell r="R28">
            <v>0.75699165790724832</v>
          </cell>
          <cell r="S28">
            <v>-0.27535868961631327</v>
          </cell>
        </row>
        <row r="29">
          <cell r="A29">
            <v>19</v>
          </cell>
          <cell r="B29" t="str">
            <v>Queen's Express Distribution</v>
          </cell>
          <cell r="C29">
            <v>3</v>
          </cell>
          <cell r="D29">
            <v>1</v>
          </cell>
          <cell r="E29">
            <v>1</v>
          </cell>
          <cell r="F29">
            <v>43032</v>
          </cell>
          <cell r="G29">
            <v>4</v>
          </cell>
          <cell r="H29">
            <v>1993</v>
          </cell>
          <cell r="I29">
            <v>6.7082460016191359</v>
          </cell>
          <cell r="J29">
            <v>5.6284067316423183</v>
          </cell>
          <cell r="K29">
            <v>9.8028299132439116</v>
          </cell>
          <cell r="L29">
            <v>9.7962643905730484</v>
          </cell>
          <cell r="M29">
            <v>-0.47459116286482028</v>
          </cell>
          <cell r="N29">
            <v>-0.95165038975235128</v>
          </cell>
          <cell r="O29">
            <v>-1.2715697509459996</v>
          </cell>
          <cell r="P29">
            <v>0.13395676643261933</v>
          </cell>
          <cell r="Q29">
            <v>-0.63700706528768547</v>
          </cell>
          <cell r="R29">
            <v>1.1505968467962866</v>
          </cell>
          <cell r="S29">
            <v>1.5479568103611097</v>
          </cell>
        </row>
        <row r="30">
          <cell r="A30">
            <v>20</v>
          </cell>
          <cell r="B30" t="str">
            <v>Valley Store Supply</v>
          </cell>
          <cell r="C30">
            <v>2</v>
          </cell>
          <cell r="D30">
            <v>3</v>
          </cell>
          <cell r="E30">
            <v>4</v>
          </cell>
          <cell r="F30">
            <v>43083</v>
          </cell>
          <cell r="G30">
            <v>16</v>
          </cell>
          <cell r="H30">
            <v>37607</v>
          </cell>
          <cell r="I30">
            <v>7.4381572390935125</v>
          </cell>
          <cell r="J30">
            <v>7.3753750649098038</v>
          </cell>
          <cell r="K30">
            <v>9.8660462746485535</v>
          </cell>
          <cell r="L30">
            <v>9.7183366544022718</v>
          </cell>
          <cell r="M30">
            <v>0.76347274026061351</v>
          </cell>
          <cell r="N30">
            <v>0.33147373126205487</v>
          </cell>
          <cell r="O30">
            <v>0.90563711592311158</v>
          </cell>
          <cell r="P30">
            <v>0.61084740596764142</v>
          </cell>
          <cell r="Q30">
            <v>0.22418790050387619</v>
          </cell>
          <cell r="R30">
            <v>1.1820701317076407</v>
          </cell>
          <cell r="S30">
            <v>1.5074057839122523</v>
          </cell>
        </row>
      </sheetData>
      <sheetData sheetId="26"/>
      <sheetData sheetId="27"/>
      <sheetData sheetId="28">
        <row r="32">
          <cell r="F32">
            <v>100000</v>
          </cell>
          <cell r="G32">
            <v>125.48760330578511</v>
          </cell>
          <cell r="H32">
            <v>122.66115702479338</v>
          </cell>
          <cell r="I32">
            <v>165.27479338842974</v>
          </cell>
          <cell r="J32">
            <v>7.2913223140495855</v>
          </cell>
          <cell r="K32">
            <v>106.62190082644628</v>
          </cell>
        </row>
        <row r="33">
          <cell r="F33">
            <v>125.48760330578511</v>
          </cell>
          <cell r="G33">
            <v>100000</v>
          </cell>
          <cell r="H33">
            <v>100.16528925619835</v>
          </cell>
          <cell r="I33">
            <v>58.291322314049587</v>
          </cell>
          <cell r="J33">
            <v>81.283057851239676</v>
          </cell>
          <cell r="K33">
            <v>61.621900826446279</v>
          </cell>
        </row>
        <row r="34">
          <cell r="F34">
            <v>122.66115702479338</v>
          </cell>
          <cell r="G34">
            <v>100.16528925619835</v>
          </cell>
          <cell r="H34">
            <v>100000</v>
          </cell>
          <cell r="I34">
            <v>87.621900826446279</v>
          </cell>
          <cell r="J34">
            <v>87.621900826446279</v>
          </cell>
          <cell r="K34">
            <v>14.291322314049587</v>
          </cell>
        </row>
        <row r="35">
          <cell r="F35">
            <v>165.27479338842974</v>
          </cell>
          <cell r="G35">
            <v>58.291322314049587</v>
          </cell>
          <cell r="H35">
            <v>87.621900826446279</v>
          </cell>
          <cell r="I35">
            <v>100000</v>
          </cell>
          <cell r="J35">
            <v>106.48760330578513</v>
          </cell>
          <cell r="K35">
            <v>67.661157024793397</v>
          </cell>
        </row>
        <row r="36">
          <cell r="F36">
            <v>7.2913223140495855</v>
          </cell>
          <cell r="G36">
            <v>81.283057851239676</v>
          </cell>
          <cell r="H36">
            <v>87.621900826446279</v>
          </cell>
          <cell r="I36">
            <v>106.48760330578513</v>
          </cell>
          <cell r="J36">
            <v>100000</v>
          </cell>
          <cell r="K36">
            <v>68.165289256198349</v>
          </cell>
        </row>
        <row r="37">
          <cell r="F37">
            <v>106.62190082644628</v>
          </cell>
          <cell r="G37">
            <v>61.621900826446279</v>
          </cell>
          <cell r="H37">
            <v>14.291322314049587</v>
          </cell>
          <cell r="I37">
            <v>67.661157024793397</v>
          </cell>
          <cell r="J37">
            <v>68.165289256198349</v>
          </cell>
          <cell r="K37">
            <v>100000</v>
          </cell>
        </row>
        <row r="41">
          <cell r="F41">
            <v>31</v>
          </cell>
          <cell r="G41">
            <v>27</v>
          </cell>
          <cell r="H41">
            <v>25</v>
          </cell>
          <cell r="I41">
            <v>29</v>
          </cell>
          <cell r="J41">
            <v>1</v>
          </cell>
          <cell r="K41">
            <v>23</v>
          </cell>
        </row>
        <row r="42">
          <cell r="F42">
            <v>27</v>
          </cell>
          <cell r="G42">
            <v>31</v>
          </cell>
          <cell r="H42">
            <v>19</v>
          </cell>
          <cell r="I42">
            <v>5</v>
          </cell>
          <cell r="J42">
            <v>13</v>
          </cell>
          <cell r="K42">
            <v>7</v>
          </cell>
        </row>
        <row r="43">
          <cell r="F43">
            <v>25</v>
          </cell>
          <cell r="G43">
            <v>19</v>
          </cell>
          <cell r="H43">
            <v>31</v>
          </cell>
          <cell r="I43">
            <v>15</v>
          </cell>
          <cell r="J43">
            <v>15</v>
          </cell>
          <cell r="K43">
            <v>3</v>
          </cell>
        </row>
        <row r="44">
          <cell r="F44">
            <v>29</v>
          </cell>
          <cell r="G44">
            <v>5</v>
          </cell>
          <cell r="H44">
            <v>15</v>
          </cell>
          <cell r="I44">
            <v>31</v>
          </cell>
          <cell r="J44">
            <v>21</v>
          </cell>
          <cell r="K44">
            <v>9</v>
          </cell>
        </row>
        <row r="45">
          <cell r="F45">
            <v>1</v>
          </cell>
          <cell r="G45">
            <v>13</v>
          </cell>
          <cell r="H45">
            <v>15</v>
          </cell>
          <cell r="I45">
            <v>21</v>
          </cell>
          <cell r="J45">
            <v>31</v>
          </cell>
          <cell r="K45">
            <v>11</v>
          </cell>
        </row>
        <row r="46">
          <cell r="F46">
            <v>23</v>
          </cell>
          <cell r="G46">
            <v>7</v>
          </cell>
          <cell r="H46">
            <v>3</v>
          </cell>
          <cell r="I46">
            <v>9</v>
          </cell>
          <cell r="J46">
            <v>11</v>
          </cell>
          <cell r="K46">
            <v>31</v>
          </cell>
        </row>
        <row r="51">
          <cell r="F51">
            <v>1000000</v>
          </cell>
          <cell r="G51">
            <v>2.1980354144507253</v>
          </cell>
          <cell r="H51">
            <v>2.9041903691422049E-2</v>
          </cell>
          <cell r="I51">
            <v>2.2756018266824776</v>
          </cell>
          <cell r="J51">
            <v>3.6883178085665207E-2</v>
          </cell>
          <cell r="K51">
            <v>1.9547599584796773</v>
          </cell>
        </row>
        <row r="52">
          <cell r="F52">
            <v>2.1980354144507253</v>
          </cell>
          <cell r="G52">
            <v>1000000</v>
          </cell>
          <cell r="H52">
            <v>1.7391566255465394</v>
          </cell>
          <cell r="I52">
            <v>1.1950951188496805E-3</v>
          </cell>
          <cell r="J52">
            <v>1.7606997103321507</v>
          </cell>
          <cell r="K52">
            <v>9.3378953561047365E-3</v>
          </cell>
        </row>
        <row r="53">
          <cell r="F53">
            <v>2.9041903691422049E-2</v>
          </cell>
          <cell r="G53">
            <v>1.7391566255465394</v>
          </cell>
          <cell r="H53">
            <v>1000000</v>
          </cell>
          <cell r="I53">
            <v>1.8102907346112564</v>
          </cell>
          <cell r="J53">
            <v>3.865582999006465E-3</v>
          </cell>
          <cell r="K53">
            <v>1.519875830973124</v>
          </cell>
        </row>
        <row r="54">
          <cell r="F54">
            <v>2.2756018266824776</v>
          </cell>
          <cell r="G54">
            <v>1.1950951188496805E-3</v>
          </cell>
          <cell r="H54">
            <v>1.8102907346112564</v>
          </cell>
          <cell r="I54">
            <v>1000000</v>
          </cell>
          <cell r="J54">
            <v>1.83493123662298</v>
          </cell>
          <cell r="K54">
            <v>1.702477716555411E-2</v>
          </cell>
        </row>
        <row r="55">
          <cell r="F55">
            <v>3.6883178085665207E-2</v>
          </cell>
          <cell r="G55">
            <v>1.7606997103321507</v>
          </cell>
          <cell r="H55">
            <v>3.865582999006465E-3</v>
          </cell>
          <cell r="I55">
            <v>1.83493123662298</v>
          </cell>
          <cell r="J55">
            <v>1000000</v>
          </cell>
          <cell r="K55">
            <v>1.5349762874779804</v>
          </cell>
        </row>
        <row r="56">
          <cell r="F56">
            <v>1.9547599584796773</v>
          </cell>
          <cell r="G56">
            <v>9.3378953561047365E-3</v>
          </cell>
          <cell r="H56">
            <v>1.519875830973124</v>
          </cell>
          <cell r="I56">
            <v>1.702477716555411E-2</v>
          </cell>
          <cell r="J56">
            <v>1.5349762874779804</v>
          </cell>
          <cell r="K56">
            <v>1000000</v>
          </cell>
        </row>
        <row r="60">
          <cell r="F60">
            <v>31</v>
          </cell>
          <cell r="G60">
            <v>27</v>
          </cell>
          <cell r="H60">
            <v>9</v>
          </cell>
          <cell r="I60">
            <v>29</v>
          </cell>
          <cell r="J60">
            <v>11</v>
          </cell>
          <cell r="K60">
            <v>25</v>
          </cell>
        </row>
        <row r="61">
          <cell r="F61">
            <v>27</v>
          </cell>
          <cell r="G61">
            <v>31</v>
          </cell>
          <cell r="H61">
            <v>17</v>
          </cell>
          <cell r="I61">
            <v>1</v>
          </cell>
          <cell r="J61">
            <v>19</v>
          </cell>
          <cell r="K61">
            <v>5</v>
          </cell>
        </row>
        <row r="62">
          <cell r="F62">
            <v>9</v>
          </cell>
          <cell r="G62">
            <v>17</v>
          </cell>
          <cell r="H62">
            <v>31</v>
          </cell>
          <cell r="I62">
            <v>21</v>
          </cell>
          <cell r="J62">
            <v>3</v>
          </cell>
          <cell r="K62">
            <v>13</v>
          </cell>
        </row>
        <row r="63">
          <cell r="F63">
            <v>29</v>
          </cell>
          <cell r="G63">
            <v>1</v>
          </cell>
          <cell r="H63">
            <v>21</v>
          </cell>
          <cell r="I63">
            <v>31</v>
          </cell>
          <cell r="J63">
            <v>23</v>
          </cell>
          <cell r="K63">
            <v>7</v>
          </cell>
        </row>
        <row r="64">
          <cell r="F64">
            <v>11</v>
          </cell>
          <cell r="G64">
            <v>19</v>
          </cell>
          <cell r="H64">
            <v>3</v>
          </cell>
          <cell r="I64">
            <v>23</v>
          </cell>
          <cell r="J64">
            <v>31</v>
          </cell>
          <cell r="K64">
            <v>15</v>
          </cell>
        </row>
        <row r="65">
          <cell r="F65">
            <v>25</v>
          </cell>
          <cell r="G65">
            <v>5</v>
          </cell>
          <cell r="H65">
            <v>13</v>
          </cell>
          <cell r="I65">
            <v>7</v>
          </cell>
          <cell r="J65">
            <v>15</v>
          </cell>
          <cell r="K65">
            <v>31</v>
          </cell>
        </row>
      </sheetData>
      <sheetData sheetId="29"/>
      <sheetData sheetId="30">
        <row r="25">
          <cell r="F25">
            <v>1000000</v>
          </cell>
          <cell r="G25">
            <v>190800</v>
          </cell>
          <cell r="H25">
            <v>92400</v>
          </cell>
          <cell r="I25">
            <v>153900</v>
          </cell>
          <cell r="J25">
            <v>67200</v>
          </cell>
          <cell r="K25">
            <v>54000</v>
          </cell>
        </row>
        <row r="26">
          <cell r="F26">
            <v>190800</v>
          </cell>
          <cell r="G26">
            <v>1000000</v>
          </cell>
          <cell r="H26">
            <v>98400</v>
          </cell>
          <cell r="I26">
            <v>36900</v>
          </cell>
          <cell r="J26">
            <v>258000</v>
          </cell>
          <cell r="K26">
            <v>244800</v>
          </cell>
        </row>
        <row r="27">
          <cell r="F27">
            <v>92400</v>
          </cell>
          <cell r="G27">
            <v>98400</v>
          </cell>
          <cell r="H27">
            <v>1000000</v>
          </cell>
          <cell r="I27">
            <v>61500</v>
          </cell>
          <cell r="J27">
            <v>159600</v>
          </cell>
          <cell r="K27">
            <v>146400</v>
          </cell>
        </row>
        <row r="28">
          <cell r="F28">
            <v>153900</v>
          </cell>
          <cell r="G28">
            <v>36900</v>
          </cell>
          <cell r="H28">
            <v>61500</v>
          </cell>
          <cell r="I28">
            <v>1000000</v>
          </cell>
          <cell r="J28">
            <v>221100</v>
          </cell>
          <cell r="K28">
            <v>207900</v>
          </cell>
        </row>
        <row r="29">
          <cell r="F29">
            <v>67200</v>
          </cell>
          <cell r="G29">
            <v>258000</v>
          </cell>
          <cell r="H29">
            <v>159600</v>
          </cell>
          <cell r="I29">
            <v>221100</v>
          </cell>
          <cell r="J29">
            <v>1000000</v>
          </cell>
          <cell r="K29">
            <v>13200</v>
          </cell>
        </row>
        <row r="30">
          <cell r="F30">
            <v>54000</v>
          </cell>
          <cell r="G30">
            <v>244800</v>
          </cell>
          <cell r="H30">
            <v>146400</v>
          </cell>
          <cell r="I30">
            <v>207900</v>
          </cell>
          <cell r="J30">
            <v>13200</v>
          </cell>
          <cell r="K30">
            <v>1000000</v>
          </cell>
        </row>
        <row r="33">
          <cell r="F33">
            <v>31</v>
          </cell>
          <cell r="G33">
            <v>21</v>
          </cell>
          <cell r="H33">
            <v>11</v>
          </cell>
          <cell r="I33">
            <v>17</v>
          </cell>
          <cell r="J33">
            <v>9</v>
          </cell>
          <cell r="K33">
            <v>5</v>
          </cell>
        </row>
        <row r="34">
          <cell r="F34">
            <v>21</v>
          </cell>
          <cell r="G34">
            <v>31</v>
          </cell>
          <cell r="H34">
            <v>13</v>
          </cell>
          <cell r="I34">
            <v>3</v>
          </cell>
          <cell r="J34">
            <v>29</v>
          </cell>
          <cell r="K34">
            <v>27</v>
          </cell>
        </row>
        <row r="35">
          <cell r="F35">
            <v>11</v>
          </cell>
          <cell r="G35">
            <v>13</v>
          </cell>
          <cell r="H35">
            <v>31</v>
          </cell>
          <cell r="I35">
            <v>7</v>
          </cell>
          <cell r="J35">
            <v>19</v>
          </cell>
          <cell r="K35">
            <v>15</v>
          </cell>
        </row>
        <row r="36">
          <cell r="F36">
            <v>17</v>
          </cell>
          <cell r="G36">
            <v>3</v>
          </cell>
          <cell r="H36">
            <v>7</v>
          </cell>
          <cell r="I36">
            <v>31</v>
          </cell>
          <cell r="J36">
            <v>25</v>
          </cell>
          <cell r="K36">
            <v>23</v>
          </cell>
        </row>
        <row r="37">
          <cell r="F37">
            <v>9</v>
          </cell>
          <cell r="G37">
            <v>29</v>
          </cell>
          <cell r="H37">
            <v>19</v>
          </cell>
          <cell r="I37">
            <v>25</v>
          </cell>
          <cell r="J37">
            <v>31</v>
          </cell>
          <cell r="K37">
            <v>1</v>
          </cell>
        </row>
        <row r="38">
          <cell r="F38">
            <v>5</v>
          </cell>
          <cell r="G38">
            <v>27</v>
          </cell>
          <cell r="H38">
            <v>15</v>
          </cell>
          <cell r="I38">
            <v>23</v>
          </cell>
          <cell r="J38">
            <v>1</v>
          </cell>
          <cell r="K38">
            <v>31</v>
          </cell>
        </row>
        <row r="42">
          <cell r="B42">
            <v>3.7230388367151441</v>
          </cell>
          <cell r="C42">
            <v>2.4192316731931074</v>
          </cell>
          <cell r="F42">
            <v>1000000</v>
          </cell>
          <cell r="G42">
            <v>5.7163877775688841</v>
          </cell>
          <cell r="H42">
            <v>1.5084944151768667</v>
          </cell>
          <cell r="I42">
            <v>3.8993795386341721</v>
          </cell>
          <cell r="J42">
            <v>0.89620963821208388</v>
          </cell>
          <cell r="K42">
            <v>0.5444953688404458</v>
          </cell>
        </row>
        <row r="43">
          <cell r="B43">
            <v>1.4540175230303893</v>
          </cell>
          <cell r="C43">
            <v>1.6656203306476325</v>
          </cell>
          <cell r="F43">
            <v>5.7163877775688841</v>
          </cell>
          <cell r="G43">
            <v>1000000</v>
          </cell>
          <cell r="H43">
            <v>1.3745783752095586</v>
          </cell>
          <cell r="I43">
            <v>0.33482933659413866</v>
          </cell>
          <cell r="J43">
            <v>10.926979264567732</v>
          </cell>
          <cell r="K43">
            <v>9.785150513821181</v>
          </cell>
        </row>
        <row r="44">
          <cell r="B44">
            <v>2.5959790616203118</v>
          </cell>
          <cell r="C44">
            <v>1.9311428712932353</v>
          </cell>
          <cell r="F44">
            <v>1.5084944151768667</v>
          </cell>
          <cell r="G44">
            <v>1.3745783752095586</v>
          </cell>
          <cell r="H44">
            <v>1000000</v>
          </cell>
          <cell r="I44">
            <v>0.5801511225595184</v>
          </cell>
          <cell r="J44">
            <v>4.5505442611994011</v>
          </cell>
          <cell r="K44">
            <v>3.864189590944112</v>
          </cell>
        </row>
        <row r="45">
          <cell r="B45">
            <v>1.9957431249293867</v>
          </cell>
          <cell r="C45">
            <v>1.4622420898220523</v>
          </cell>
          <cell r="F45">
            <v>1.5084944151768667</v>
          </cell>
          <cell r="G45">
            <v>0.33482933659413866</v>
          </cell>
          <cell r="H45">
            <v>0.5801511225595184</v>
          </cell>
          <cell r="I45">
            <v>1000000</v>
          </cell>
          <cell r="J45">
            <v>8.0894089315055773</v>
          </cell>
          <cell r="K45">
            <v>7.331048598599649</v>
          </cell>
        </row>
        <row r="46">
          <cell r="B46">
            <v>4.6696413817269162</v>
          </cell>
          <cell r="C46">
            <v>2.4316114950545011</v>
          </cell>
          <cell r="F46">
            <v>0.89620963821208388</v>
          </cell>
          <cell r="G46">
            <v>10.926979264567732</v>
          </cell>
          <cell r="H46">
            <v>4.5505442611994011</v>
          </cell>
          <cell r="I46">
            <v>8.0894089315055773</v>
          </cell>
          <cell r="J46">
            <v>1000000</v>
          </cell>
          <cell r="K46">
            <v>0.13142251947913838</v>
          </cell>
        </row>
        <row r="47">
          <cell r="B47">
            <v>4.4111224447454944</v>
          </cell>
          <cell r="C47">
            <v>2.6857580643823873</v>
          </cell>
          <cell r="F47">
            <v>0.5444953688404458</v>
          </cell>
          <cell r="G47">
            <v>9.785150513821181</v>
          </cell>
          <cell r="H47">
            <v>3.864189590944112</v>
          </cell>
          <cell r="I47">
            <v>7.331048598599649</v>
          </cell>
          <cell r="J47">
            <v>0.13142251947913838</v>
          </cell>
          <cell r="K47">
            <v>1000000</v>
          </cell>
        </row>
        <row r="51">
          <cell r="F51">
            <v>31</v>
          </cell>
          <cell r="G51">
            <v>21</v>
          </cell>
          <cell r="H51">
            <v>13</v>
          </cell>
          <cell r="I51">
            <v>18</v>
          </cell>
          <cell r="J51">
            <v>9</v>
          </cell>
          <cell r="K51">
            <v>5</v>
          </cell>
        </row>
        <row r="52">
          <cell r="F52">
            <v>21</v>
          </cell>
          <cell r="G52">
            <v>31</v>
          </cell>
          <cell r="H52">
            <v>11</v>
          </cell>
          <cell r="I52">
            <v>3</v>
          </cell>
          <cell r="J52">
            <v>29</v>
          </cell>
          <cell r="K52">
            <v>27</v>
          </cell>
        </row>
        <row r="53">
          <cell r="F53">
            <v>13</v>
          </cell>
          <cell r="G53">
            <v>11</v>
          </cell>
          <cell r="H53">
            <v>31</v>
          </cell>
          <cell r="I53">
            <v>7</v>
          </cell>
          <cell r="J53">
            <v>19</v>
          </cell>
          <cell r="K53">
            <v>16</v>
          </cell>
        </row>
        <row r="54">
          <cell r="F54">
            <v>13</v>
          </cell>
          <cell r="G54">
            <v>3</v>
          </cell>
          <cell r="H54">
            <v>7</v>
          </cell>
          <cell r="I54">
            <v>31</v>
          </cell>
          <cell r="J54">
            <v>25</v>
          </cell>
          <cell r="K54">
            <v>23</v>
          </cell>
        </row>
        <row r="55">
          <cell r="F55">
            <v>9</v>
          </cell>
          <cell r="G55">
            <v>29</v>
          </cell>
          <cell r="H55">
            <v>19</v>
          </cell>
          <cell r="I55">
            <v>25</v>
          </cell>
          <cell r="J55">
            <v>31</v>
          </cell>
          <cell r="K55">
            <v>1</v>
          </cell>
        </row>
        <row r="56">
          <cell r="F56">
            <v>5</v>
          </cell>
          <cell r="G56">
            <v>27</v>
          </cell>
          <cell r="H56">
            <v>16</v>
          </cell>
          <cell r="I56">
            <v>23</v>
          </cell>
          <cell r="J56">
            <v>1</v>
          </cell>
          <cell r="K56">
            <v>31</v>
          </cell>
        </row>
      </sheetData>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nitialization"/>
    </sheetNames>
    <sheetDataSet>
      <sheetData sheetId="0"/>
      <sheetData sheetId="1">
        <row r="3">
          <cell r="H3">
            <v>1</v>
          </cell>
          <cell r="I3">
            <v>0.88914901811009173</v>
          </cell>
        </row>
        <row r="4">
          <cell r="H4">
            <v>2</v>
          </cell>
          <cell r="I4">
            <v>0.87316243691740825</v>
          </cell>
        </row>
        <row r="5">
          <cell r="H5">
            <v>3</v>
          </cell>
          <cell r="I5">
            <v>0.96828148713370887</v>
          </cell>
        </row>
        <row r="6">
          <cell r="G6">
            <v>145475.01054455567</v>
          </cell>
          <cell r="H6">
            <v>4</v>
          </cell>
          <cell r="I6">
            <v>0.99184752819112798</v>
          </cell>
        </row>
        <row r="7">
          <cell r="H7">
            <v>5</v>
          </cell>
          <cell r="I7">
            <v>1.0217546343978547</v>
          </cell>
        </row>
        <row r="8">
          <cell r="H8">
            <v>6</v>
          </cell>
          <cell r="I8">
            <v>1.0146077245222471</v>
          </cell>
        </row>
        <row r="9">
          <cell r="H9">
            <v>7</v>
          </cell>
          <cell r="I9">
            <v>1.0122963533671319</v>
          </cell>
        </row>
        <row r="10">
          <cell r="H10">
            <v>8</v>
          </cell>
          <cell r="I10">
            <v>1.0056779435195013</v>
          </cell>
        </row>
        <row r="11">
          <cell r="H11">
            <v>9</v>
          </cell>
          <cell r="I11">
            <v>0.97302248313635975</v>
          </cell>
        </row>
        <row r="12">
          <cell r="H12">
            <v>10</v>
          </cell>
          <cell r="I12">
            <v>1.0038849547820325</v>
          </cell>
        </row>
        <row r="13">
          <cell r="H13">
            <v>11</v>
          </cell>
          <cell r="I13">
            <v>1.0125861742462181</v>
          </cell>
        </row>
        <row r="14">
          <cell r="H14">
            <v>12</v>
          </cell>
          <cell r="I14">
            <v>1.2337292624310967</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IZATION"/>
      <sheetName val="WALMART"/>
      <sheetName val="dishwashers"/>
      <sheetName val="AMZ"/>
    </sheetNames>
    <sheetDataSet>
      <sheetData sheetId="0"/>
      <sheetData sheetId="1"/>
      <sheetData sheetId="2" refreshError="1"/>
      <sheetData sheetId="3">
        <row r="3">
          <cell r="F3">
            <v>5.1923011954292111</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model"/>
      <sheetName val="growing margins"/>
      <sheetName val="CLV Explanation"/>
      <sheetName val="CLV Sensitivity Analysis"/>
      <sheetName val="Sheet3"/>
    </sheetNames>
    <sheetDataSet>
      <sheetData sheetId="0">
        <row r="1">
          <cell r="B1">
            <v>0.1</v>
          </cell>
        </row>
        <row r="2">
          <cell r="B2">
            <v>0.8</v>
          </cell>
        </row>
        <row r="3">
          <cell r="H3" t="str">
            <v>end</v>
          </cell>
          <cell r="I3">
            <v>0</v>
          </cell>
        </row>
        <row r="4">
          <cell r="H4" t="str">
            <v>beginning</v>
          </cell>
          <cell r="I4">
            <v>1</v>
          </cell>
        </row>
        <row r="5">
          <cell r="H5" t="str">
            <v>middle</v>
          </cell>
          <cell r="I5">
            <v>0.5</v>
          </cell>
        </row>
      </sheetData>
      <sheetData sheetId="1">
        <row r="3">
          <cell r="G3">
            <v>1</v>
          </cell>
        </row>
        <row r="4">
          <cell r="G4">
            <v>1.5</v>
          </cell>
          <cell r="I4">
            <v>0.23099999999999998</v>
          </cell>
        </row>
        <row r="5">
          <cell r="G5">
            <v>3</v>
          </cell>
        </row>
      </sheetData>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rojectsh"/>
      <sheetName val="magazine"/>
      <sheetName val="prod assess"/>
      <sheetName val="nfl2000"/>
      <sheetName val="prod_assess"/>
    </sheetNames>
    <sheetDataSet>
      <sheetData sheetId="0" refreshError="1"/>
      <sheetData sheetId="1" refreshError="1"/>
      <sheetData sheetId="2" refreshError="1"/>
      <sheetData sheetId="3" refreshError="1"/>
      <sheetData sheetId="4" refreshError="1">
        <row r="3">
          <cell r="L3">
            <v>1</v>
          </cell>
          <cell r="M3">
            <v>-14.352484862369227</v>
          </cell>
        </row>
        <row r="4">
          <cell r="L4">
            <v>2</v>
          </cell>
          <cell r="M4">
            <v>-8.7853353956698221</v>
          </cell>
        </row>
        <row r="5">
          <cell r="L5">
            <v>3</v>
          </cell>
          <cell r="M5">
            <v>10.913016656926613</v>
          </cell>
        </row>
        <row r="6">
          <cell r="L6">
            <v>4</v>
          </cell>
          <cell r="M6">
            <v>-0.81272888719172331</v>
          </cell>
        </row>
        <row r="7">
          <cell r="L7">
            <v>5</v>
          </cell>
          <cell r="M7">
            <v>-1.4452872736473137</v>
          </cell>
        </row>
        <row r="8">
          <cell r="L8">
            <v>6</v>
          </cell>
          <cell r="M8">
            <v>-6.909113048180239</v>
          </cell>
        </row>
        <row r="9">
          <cell r="L9">
            <v>7</v>
          </cell>
          <cell r="M9">
            <v>-9.6943225371214403</v>
          </cell>
        </row>
        <row r="10">
          <cell r="L10">
            <v>8</v>
          </cell>
          <cell r="M10">
            <v>-13.623366561578802</v>
          </cell>
        </row>
        <row r="11">
          <cell r="L11">
            <v>9</v>
          </cell>
          <cell r="M11">
            <v>-3.7582022940405393</v>
          </cell>
        </row>
        <row r="12">
          <cell r="L12">
            <v>10</v>
          </cell>
          <cell r="M12">
            <v>4.3002027400792437</v>
          </cell>
        </row>
        <row r="13">
          <cell r="L13">
            <v>11</v>
          </cell>
          <cell r="M13">
            <v>0.77277898428308123</v>
          </cell>
        </row>
        <row r="14">
          <cell r="L14">
            <v>12</v>
          </cell>
          <cell r="M14">
            <v>1.7968895948381276</v>
          </cell>
        </row>
        <row r="15">
          <cell r="L15">
            <v>13</v>
          </cell>
          <cell r="M15">
            <v>6.9871105047289159</v>
          </cell>
        </row>
        <row r="16">
          <cell r="L16">
            <v>14</v>
          </cell>
          <cell r="M16">
            <v>2.1346916162285638</v>
          </cell>
        </row>
        <row r="17">
          <cell r="L17">
            <v>15</v>
          </cell>
          <cell r="M17">
            <v>0.24637242236172244</v>
          </cell>
        </row>
        <row r="18">
          <cell r="L18">
            <v>16</v>
          </cell>
          <cell r="M18">
            <v>5.6600479370024166</v>
          </cell>
        </row>
        <row r="19">
          <cell r="L19">
            <v>17</v>
          </cell>
          <cell r="M19">
            <v>0.15502028295797946</v>
          </cell>
        </row>
        <row r="20">
          <cell r="L20">
            <v>18</v>
          </cell>
          <cell r="M20">
            <v>-3.2083799310304308</v>
          </cell>
        </row>
        <row r="21">
          <cell r="L21">
            <v>19</v>
          </cell>
          <cell r="M21">
            <v>-6.2931455470478515E-2</v>
          </cell>
        </row>
        <row r="22">
          <cell r="L22">
            <v>20</v>
          </cell>
          <cell r="M22">
            <v>5.4255580567362509</v>
          </cell>
        </row>
        <row r="23">
          <cell r="L23">
            <v>21</v>
          </cell>
          <cell r="M23">
            <v>3.030651608432767</v>
          </cell>
        </row>
        <row r="24">
          <cell r="L24">
            <v>22</v>
          </cell>
          <cell r="M24">
            <v>9.7535502295923724</v>
          </cell>
        </row>
        <row r="25">
          <cell r="L25">
            <v>23</v>
          </cell>
          <cell r="M25">
            <v>4.4258019855110007</v>
          </cell>
        </row>
        <row r="26">
          <cell r="L26">
            <v>24</v>
          </cell>
          <cell r="M26">
            <v>4.9228019406395287</v>
          </cell>
        </row>
        <row r="27">
          <cell r="L27">
            <v>25</v>
          </cell>
          <cell r="M27">
            <v>2.6601895887099718</v>
          </cell>
        </row>
        <row r="28">
          <cell r="L28">
            <v>26</v>
          </cell>
          <cell r="M28">
            <v>-8.3161444589191049</v>
          </cell>
        </row>
        <row r="29">
          <cell r="L29">
            <v>27</v>
          </cell>
          <cell r="M29">
            <v>-4.1566039138895015</v>
          </cell>
        </row>
        <row r="30">
          <cell r="L30">
            <v>28</v>
          </cell>
          <cell r="M30">
            <v>-4.168517253623345</v>
          </cell>
        </row>
        <row r="31">
          <cell r="L31">
            <v>29</v>
          </cell>
          <cell r="M31">
            <v>5.6881738375008757</v>
          </cell>
        </row>
        <row r="32">
          <cell r="L32">
            <v>30</v>
          </cell>
          <cell r="M32">
            <v>8.5647780893898275</v>
          </cell>
        </row>
        <row r="33">
          <cell r="L33">
            <v>31</v>
          </cell>
          <cell r="M33">
            <v>1.8557817968136519</v>
          </cell>
        </row>
      </sheetData>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cy"/>
      <sheetName val="yen"/>
      <sheetName val="xbox"/>
      <sheetName val="SolverTableSheet"/>
    </sheetNames>
    <sheetDataSet>
      <sheetData sheetId="0">
        <row r="24">
          <cell r="B24">
            <v>0.1</v>
          </cell>
          <cell r="C24">
            <v>502.31791269261038</v>
          </cell>
          <cell r="D24">
            <v>17125.72238118837</v>
          </cell>
        </row>
        <row r="40">
          <cell r="B40">
            <v>1.0000007573040648E-2</v>
          </cell>
        </row>
        <row r="41">
          <cell r="B41">
            <v>9.9999847799665531E-3</v>
          </cell>
        </row>
        <row r="43">
          <cell r="B43">
            <v>8663.3547731327071</v>
          </cell>
        </row>
      </sheetData>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 val="Soap_A_&amp;_B"/>
      <sheetName val="Product_A_&amp;_B"/>
      <sheetName val="Multiple_Products"/>
      <sheetName val="Trend_&amp;_Seasonality"/>
      <sheetName val="Single_&amp;_Multiple_Pricing"/>
      <sheetName val="Point_Sheet"/>
    </sheetNames>
    <sheetDataSet>
      <sheetData sheetId="0"/>
      <sheetData sheetId="1"/>
      <sheetData sheetId="2"/>
      <sheetData sheetId="3"/>
      <sheetData sheetId="4"/>
      <sheetData sheetId="5"/>
      <sheetData sheetId="6"/>
      <sheetData sheetId="7">
        <row r="3">
          <cell r="M3">
            <v>1</v>
          </cell>
          <cell r="P3">
            <v>1</v>
          </cell>
          <cell r="Q3">
            <v>4</v>
          </cell>
        </row>
        <row r="4">
          <cell r="P4">
            <v>6</v>
          </cell>
          <cell r="Q4">
            <v>3</v>
          </cell>
        </row>
        <row r="5">
          <cell r="P5">
            <v>11</v>
          </cell>
          <cell r="Q5">
            <v>2</v>
          </cell>
        </row>
        <row r="6">
          <cell r="P6">
            <v>16</v>
          </cell>
          <cell r="Q6">
            <v>1</v>
          </cell>
        </row>
      </sheetData>
      <sheetData sheetId="8"/>
      <sheetData sheetId="9"/>
      <sheetData sheetId="10"/>
      <sheetData sheetId="11"/>
      <sheetData sheetId="12"/>
      <sheetData sheetId="13"/>
      <sheetData sheetId="14"/>
      <sheetData sheetId="15"/>
      <sheetData sheetId="16"/>
      <sheetData sheetId="17"/>
      <sheetData sheetId="1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mekala" refreshedDate="45904.280046990738" createdVersion="8" refreshedVersion="8" minRefreshableVersion="3" recordCount="160" xr:uid="{19F60519-74D1-413D-BA1C-588B4C6E5A95}">
  <cacheSource type="worksheet">
    <worksheetSource ref="E12:O172" sheet="Regression (1)"/>
  </cacheSource>
  <cacheFields count="11">
    <cacheField name="ID" numFmtId="0">
      <sharedItems containsSemiMixedTypes="0" containsString="0" containsNumber="1" containsInteger="1" minValue="1" maxValue="160"/>
    </cacheField>
    <cacheField name="Gender" numFmtId="49">
      <sharedItems/>
    </cacheField>
    <cacheField name="Customer Type (Existing/New)" numFmtId="49">
      <sharedItems count="4">
        <s v="Existing"/>
        <s v="New"/>
        <s v="Existing            "/>
        <s v="New     "/>
      </sharedItems>
    </cacheField>
    <cacheField name="Dummy Gender" numFmtId="0">
      <sharedItems containsSemiMixedTypes="0" containsString="0" containsNumber="1" containsInteger="1" minValue="0" maxValue="1"/>
    </cacheField>
    <cacheField name="Dummy Customer Type" numFmtId="0">
      <sharedItems containsSemiMixedTypes="0" containsString="0" containsNumber="1" containsInteger="1" minValue="0" maxValue="1"/>
    </cacheField>
    <cacheField name="Customer Satisfaction Score" numFmtId="0">
      <sharedItems containsSemiMixedTypes="0" containsString="0" containsNumber="1" containsInteger="1" minValue="1" maxValue="7"/>
    </cacheField>
    <cacheField name="Interaction(Gender*Satisfaction)" numFmtId="0">
      <sharedItems containsSemiMixedTypes="0" containsString="0" containsNumber="1" containsInteger="1" minValue="0" maxValue="7"/>
    </cacheField>
    <cacheField name="Age" numFmtId="0">
      <sharedItems containsSemiMixedTypes="0" containsString="0" containsNumber="1" containsInteger="1" minValue="1" maxValue="7"/>
    </cacheField>
    <cacheField name="Interaction(Age*Satisfaction)" numFmtId="0">
      <sharedItems containsSemiMixedTypes="0" containsString="0" containsNumber="1" containsInteger="1" minValue="2" maxValue="49"/>
    </cacheField>
    <cacheField name="Avg. Monthly Website Visits" numFmtId="0">
      <sharedItems containsSemiMixedTypes="0" containsString="0" containsNumber="1" containsInteger="1" minValue="4" maxValue="110"/>
    </cacheField>
    <cacheField name="Total Customer Revenue" numFmtId="0">
      <sharedItems containsSemiMixedTypes="0" containsString="0" containsNumber="1" minValue="731.43" maxValue="3646.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n v="1"/>
    <s v="F"/>
    <x v="0"/>
    <n v="0"/>
    <n v="0"/>
    <n v="7"/>
    <n v="0"/>
    <n v="4"/>
    <n v="28"/>
    <n v="59"/>
    <n v="2525.38"/>
  </r>
  <r>
    <n v="2"/>
    <s v="M   "/>
    <x v="1"/>
    <n v="1"/>
    <n v="1"/>
    <n v="6"/>
    <n v="6"/>
    <n v="5"/>
    <n v="30"/>
    <n v="33"/>
    <n v="2190.73"/>
  </r>
  <r>
    <n v="3"/>
    <s v="M"/>
    <x v="1"/>
    <n v="1"/>
    <n v="1"/>
    <n v="7"/>
    <n v="7"/>
    <n v="4"/>
    <n v="28"/>
    <n v="46"/>
    <n v="2587.06"/>
  </r>
  <r>
    <n v="4"/>
    <s v="M"/>
    <x v="0"/>
    <n v="1"/>
    <n v="0"/>
    <n v="4"/>
    <n v="4"/>
    <n v="3"/>
    <n v="12"/>
    <n v="61"/>
    <n v="2678.38"/>
  </r>
  <r>
    <n v="5"/>
    <s v="F"/>
    <x v="0"/>
    <n v="0"/>
    <n v="0"/>
    <n v="6"/>
    <n v="0"/>
    <n v="7"/>
    <n v="42"/>
    <n v="41"/>
    <n v="2359.5100000000002"/>
  </r>
  <r>
    <n v="6"/>
    <s v="F"/>
    <x v="1"/>
    <n v="0"/>
    <n v="1"/>
    <n v="5"/>
    <n v="0"/>
    <n v="5"/>
    <n v="25"/>
    <n v="52"/>
    <n v="1648.51"/>
  </r>
  <r>
    <n v="7"/>
    <s v="F"/>
    <x v="0"/>
    <n v="0"/>
    <n v="0"/>
    <n v="7"/>
    <n v="0"/>
    <n v="4"/>
    <n v="28"/>
    <n v="82"/>
    <n v="2938.05"/>
  </r>
  <r>
    <n v="8"/>
    <s v="M"/>
    <x v="0"/>
    <n v="1"/>
    <n v="0"/>
    <n v="3"/>
    <n v="3"/>
    <n v="4"/>
    <n v="12"/>
    <n v="47"/>
    <n v="2278.81"/>
  </r>
  <r>
    <n v="9"/>
    <s v="M"/>
    <x v="0"/>
    <n v="1"/>
    <n v="0"/>
    <n v="3"/>
    <n v="3"/>
    <n v="3"/>
    <n v="9"/>
    <n v="78"/>
    <n v="2237.8000000000002"/>
  </r>
  <r>
    <n v="10"/>
    <s v="M"/>
    <x v="0"/>
    <n v="1"/>
    <n v="0"/>
    <n v="4"/>
    <n v="4"/>
    <n v="2"/>
    <n v="8"/>
    <n v="35"/>
    <n v="2173.09"/>
  </r>
  <r>
    <n v="11"/>
    <s v="F"/>
    <x v="1"/>
    <n v="0"/>
    <n v="1"/>
    <n v="2"/>
    <n v="0"/>
    <n v="3"/>
    <n v="6"/>
    <n v="72"/>
    <n v="1254.95"/>
  </r>
  <r>
    <n v="12"/>
    <s v="M"/>
    <x v="2"/>
    <n v="1"/>
    <n v="0"/>
    <n v="4"/>
    <n v="4"/>
    <n v="5"/>
    <n v="20"/>
    <n v="92"/>
    <n v="2749.51"/>
  </r>
  <r>
    <n v="13"/>
    <s v="M"/>
    <x v="0"/>
    <n v="1"/>
    <n v="0"/>
    <n v="4"/>
    <n v="4"/>
    <n v="1"/>
    <n v="4"/>
    <n v="6"/>
    <n v="1769.97"/>
  </r>
  <r>
    <n v="14"/>
    <s v="F"/>
    <x v="0"/>
    <n v="0"/>
    <n v="0"/>
    <n v="5"/>
    <n v="0"/>
    <n v="2"/>
    <n v="10"/>
    <n v="42"/>
    <n v="1504.48"/>
  </r>
  <r>
    <n v="15"/>
    <s v="F"/>
    <x v="1"/>
    <n v="0"/>
    <n v="1"/>
    <n v="5"/>
    <n v="0"/>
    <n v="1"/>
    <n v="5"/>
    <n v="73"/>
    <n v="1214.27"/>
  </r>
  <r>
    <n v="16"/>
    <s v="F"/>
    <x v="0"/>
    <n v="0"/>
    <n v="0"/>
    <n v="7"/>
    <n v="0"/>
    <n v="1"/>
    <n v="7"/>
    <n v="56"/>
    <n v="2042.17"/>
  </r>
  <r>
    <n v="17"/>
    <s v="F"/>
    <x v="1"/>
    <n v="0"/>
    <n v="1"/>
    <n v="6"/>
    <n v="0"/>
    <n v="6"/>
    <n v="36"/>
    <n v="68"/>
    <n v="1849.56"/>
  </r>
  <r>
    <n v="18"/>
    <s v="M"/>
    <x v="0"/>
    <n v="1"/>
    <n v="0"/>
    <n v="4"/>
    <n v="4"/>
    <n v="5"/>
    <n v="20"/>
    <n v="47"/>
    <n v="2492.71"/>
  </r>
  <r>
    <n v="19"/>
    <s v="F"/>
    <x v="1"/>
    <n v="0"/>
    <n v="1"/>
    <n v="3"/>
    <n v="0"/>
    <n v="4"/>
    <n v="12"/>
    <n v="62"/>
    <n v="1285.48"/>
  </r>
  <r>
    <n v="20"/>
    <s v="F       "/>
    <x v="0"/>
    <n v="0"/>
    <n v="0"/>
    <n v="5"/>
    <n v="0"/>
    <n v="2"/>
    <n v="10"/>
    <n v="57"/>
    <n v="1734.66"/>
  </r>
  <r>
    <n v="21"/>
    <s v="M"/>
    <x v="0"/>
    <n v="1"/>
    <n v="0"/>
    <n v="3"/>
    <n v="3"/>
    <n v="4"/>
    <n v="12"/>
    <n v="86"/>
    <n v="2762.47"/>
  </r>
  <r>
    <n v="22"/>
    <s v="F"/>
    <x v="0"/>
    <n v="0"/>
    <n v="0"/>
    <n v="7"/>
    <n v="0"/>
    <n v="4"/>
    <n v="28"/>
    <n v="66"/>
    <n v="2451.1"/>
  </r>
  <r>
    <n v="23"/>
    <s v="F"/>
    <x v="1"/>
    <n v="0"/>
    <n v="1"/>
    <n v="6"/>
    <n v="0"/>
    <n v="2"/>
    <n v="12"/>
    <n v="67"/>
    <n v="1705.83"/>
  </r>
  <r>
    <n v="24"/>
    <s v="F     "/>
    <x v="1"/>
    <n v="0"/>
    <n v="1"/>
    <n v="4"/>
    <n v="0"/>
    <n v="3"/>
    <n v="12"/>
    <n v="51"/>
    <n v="1123.3"/>
  </r>
  <r>
    <n v="25"/>
    <s v="F"/>
    <x v="0"/>
    <n v="0"/>
    <n v="0"/>
    <n v="2"/>
    <n v="0"/>
    <n v="3"/>
    <n v="6"/>
    <n v="49"/>
    <n v="1552.57"/>
  </r>
  <r>
    <n v="26"/>
    <s v="M"/>
    <x v="1"/>
    <n v="1"/>
    <n v="1"/>
    <n v="6"/>
    <n v="6"/>
    <n v="4"/>
    <n v="24"/>
    <n v="50"/>
    <n v="2306.08"/>
  </r>
  <r>
    <n v="27"/>
    <s v="F"/>
    <x v="1"/>
    <n v="0"/>
    <n v="1"/>
    <n v="4"/>
    <n v="0"/>
    <n v="4"/>
    <n v="16"/>
    <n v="69"/>
    <n v="1422.31"/>
  </r>
  <r>
    <n v="28"/>
    <s v="F"/>
    <x v="0"/>
    <n v="0"/>
    <n v="0"/>
    <n v="6"/>
    <n v="0"/>
    <n v="1"/>
    <n v="6"/>
    <n v="51"/>
    <n v="2055.38"/>
  </r>
  <r>
    <n v="29"/>
    <s v="M"/>
    <x v="0"/>
    <n v="1"/>
    <n v="0"/>
    <n v="2"/>
    <n v="2"/>
    <n v="3"/>
    <n v="6"/>
    <n v="66"/>
    <n v="1889.88"/>
  </r>
  <r>
    <n v="30"/>
    <s v="F"/>
    <x v="0"/>
    <n v="0"/>
    <n v="0"/>
    <n v="4"/>
    <n v="0"/>
    <n v="4"/>
    <n v="16"/>
    <n v="106"/>
    <n v="2438.58"/>
  </r>
  <r>
    <n v="31"/>
    <s v="M"/>
    <x v="0"/>
    <n v="1"/>
    <n v="0"/>
    <n v="5"/>
    <n v="5"/>
    <n v="4"/>
    <n v="20"/>
    <n v="79"/>
    <n v="2736.68"/>
  </r>
  <r>
    <n v="32"/>
    <s v="F"/>
    <x v="3"/>
    <n v="0"/>
    <n v="1"/>
    <n v="5"/>
    <n v="0"/>
    <n v="6"/>
    <n v="30"/>
    <n v="53"/>
    <n v="2138.9299999999998"/>
  </r>
  <r>
    <n v="33"/>
    <s v="F"/>
    <x v="1"/>
    <n v="0"/>
    <n v="1"/>
    <n v="4"/>
    <n v="0"/>
    <n v="4"/>
    <n v="16"/>
    <n v="86"/>
    <n v="1791.44"/>
  </r>
  <r>
    <n v="34"/>
    <s v="M"/>
    <x v="1"/>
    <n v="1"/>
    <n v="1"/>
    <n v="5"/>
    <n v="5"/>
    <n v="2"/>
    <n v="10"/>
    <n v="51"/>
    <n v="1708.03"/>
  </r>
  <r>
    <n v="35"/>
    <s v="M"/>
    <x v="0"/>
    <n v="1"/>
    <n v="0"/>
    <n v="3"/>
    <n v="3"/>
    <n v="2"/>
    <n v="6"/>
    <n v="15"/>
    <n v="1831.28"/>
  </r>
  <r>
    <n v="36"/>
    <s v="M"/>
    <x v="0"/>
    <n v="1"/>
    <n v="0"/>
    <n v="4"/>
    <n v="4"/>
    <n v="4"/>
    <n v="16"/>
    <n v="38"/>
    <n v="2035.04"/>
  </r>
  <r>
    <n v="37"/>
    <s v="F"/>
    <x v="1"/>
    <n v="0"/>
    <n v="1"/>
    <n v="5"/>
    <n v="0"/>
    <n v="1"/>
    <n v="5"/>
    <n v="19"/>
    <n v="1095.68"/>
  </r>
  <r>
    <n v="38"/>
    <s v="F"/>
    <x v="1"/>
    <n v="0"/>
    <n v="1"/>
    <n v="5"/>
    <n v="0"/>
    <n v="4"/>
    <n v="20"/>
    <n v="52"/>
    <n v="1235.6600000000001"/>
  </r>
  <r>
    <n v="39"/>
    <s v="M"/>
    <x v="1"/>
    <n v="1"/>
    <n v="1"/>
    <n v="6"/>
    <n v="6"/>
    <n v="7"/>
    <n v="42"/>
    <n v="60"/>
    <n v="2377.64"/>
  </r>
  <r>
    <n v="40"/>
    <s v="F"/>
    <x v="1"/>
    <n v="0"/>
    <n v="1"/>
    <n v="3"/>
    <n v="0"/>
    <n v="4"/>
    <n v="12"/>
    <n v="97"/>
    <n v="1810.4"/>
  </r>
  <r>
    <n v="41"/>
    <s v="F"/>
    <x v="1"/>
    <n v="0"/>
    <n v="1"/>
    <n v="2"/>
    <n v="0"/>
    <n v="3"/>
    <n v="6"/>
    <n v="67"/>
    <n v="1438.31"/>
  </r>
  <r>
    <n v="42"/>
    <s v="F"/>
    <x v="0"/>
    <n v="0"/>
    <n v="0"/>
    <n v="6"/>
    <n v="0"/>
    <n v="4"/>
    <n v="24"/>
    <n v="55"/>
    <n v="2307.56"/>
  </r>
  <r>
    <n v="43"/>
    <s v="F"/>
    <x v="0"/>
    <n v="0"/>
    <n v="0"/>
    <n v="5"/>
    <n v="0"/>
    <n v="3"/>
    <n v="15"/>
    <n v="78"/>
    <n v="2255.0300000000002"/>
  </r>
  <r>
    <n v="44"/>
    <s v="M"/>
    <x v="1"/>
    <n v="1"/>
    <n v="1"/>
    <n v="4"/>
    <n v="4"/>
    <n v="4"/>
    <n v="16"/>
    <n v="11"/>
    <n v="1446.79"/>
  </r>
  <r>
    <n v="45"/>
    <s v="F"/>
    <x v="1"/>
    <n v="0"/>
    <n v="1"/>
    <n v="7"/>
    <n v="0"/>
    <n v="7"/>
    <n v="49"/>
    <n v="65"/>
    <n v="1939.08"/>
  </r>
  <r>
    <n v="46"/>
    <s v="M"/>
    <x v="0"/>
    <n v="1"/>
    <n v="0"/>
    <n v="5"/>
    <n v="5"/>
    <n v="3"/>
    <n v="15"/>
    <n v="77"/>
    <n v="2611.23"/>
  </r>
  <r>
    <n v="47"/>
    <s v="F"/>
    <x v="0"/>
    <n v="0"/>
    <n v="0"/>
    <n v="6"/>
    <n v="0"/>
    <n v="7"/>
    <n v="42"/>
    <n v="27"/>
    <n v="2190.48"/>
  </r>
  <r>
    <n v="48"/>
    <s v="M"/>
    <x v="1"/>
    <n v="1"/>
    <n v="1"/>
    <n v="5"/>
    <n v="5"/>
    <n v="6"/>
    <n v="30"/>
    <n v="85"/>
    <n v="2755.85"/>
  </r>
  <r>
    <n v="49"/>
    <s v="M"/>
    <x v="0"/>
    <n v="1"/>
    <n v="0"/>
    <n v="7"/>
    <n v="7"/>
    <n v="2"/>
    <n v="14"/>
    <n v="67"/>
    <n v="3068.29"/>
  </r>
  <r>
    <n v="50"/>
    <s v="F"/>
    <x v="0"/>
    <n v="0"/>
    <n v="0"/>
    <n v="7"/>
    <n v="0"/>
    <n v="1"/>
    <n v="7"/>
    <n v="51"/>
    <n v="1769.02"/>
  </r>
  <r>
    <n v="51"/>
    <s v="M"/>
    <x v="0"/>
    <n v="1"/>
    <n v="0"/>
    <n v="4"/>
    <n v="4"/>
    <n v="2"/>
    <n v="8"/>
    <n v="74"/>
    <n v="2482.58"/>
  </r>
  <r>
    <n v="52"/>
    <s v="M"/>
    <x v="1"/>
    <n v="1"/>
    <n v="1"/>
    <n v="6"/>
    <n v="6"/>
    <n v="1"/>
    <n v="6"/>
    <n v="110"/>
    <n v="2496.83"/>
  </r>
  <r>
    <n v="53"/>
    <s v="M"/>
    <x v="1"/>
    <n v="1"/>
    <n v="1"/>
    <n v="6"/>
    <n v="6"/>
    <n v="2"/>
    <n v="12"/>
    <n v="64"/>
    <n v="2112.38"/>
  </r>
  <r>
    <n v="54"/>
    <s v="M"/>
    <x v="0"/>
    <n v="1"/>
    <n v="0"/>
    <n v="7"/>
    <n v="7"/>
    <n v="5"/>
    <n v="35"/>
    <n v="65"/>
    <n v="3356.22"/>
  </r>
  <r>
    <n v="55"/>
    <s v="M"/>
    <x v="1"/>
    <n v="1"/>
    <n v="1"/>
    <n v="3"/>
    <n v="3"/>
    <n v="2"/>
    <n v="6"/>
    <n v="50"/>
    <n v="1665.89"/>
  </r>
  <r>
    <n v="56"/>
    <s v="M"/>
    <x v="0"/>
    <n v="1"/>
    <n v="0"/>
    <n v="6"/>
    <n v="6"/>
    <n v="3"/>
    <n v="18"/>
    <n v="41"/>
    <n v="2815.94"/>
  </r>
  <r>
    <n v="57"/>
    <s v="F"/>
    <x v="0"/>
    <n v="0"/>
    <n v="0"/>
    <n v="6"/>
    <n v="0"/>
    <n v="6"/>
    <n v="36"/>
    <n v="78"/>
    <n v="2492.5500000000002"/>
  </r>
  <r>
    <n v="58"/>
    <s v="F"/>
    <x v="1"/>
    <n v="0"/>
    <n v="1"/>
    <n v="2"/>
    <n v="0"/>
    <n v="1"/>
    <n v="2"/>
    <n v="41"/>
    <n v="835.25"/>
  </r>
  <r>
    <n v="59"/>
    <s v="F"/>
    <x v="1"/>
    <n v="0"/>
    <n v="1"/>
    <n v="3"/>
    <n v="0"/>
    <n v="5"/>
    <n v="15"/>
    <n v="62"/>
    <n v="1605.94"/>
  </r>
  <r>
    <n v="60"/>
    <s v="F"/>
    <x v="1"/>
    <n v="0"/>
    <n v="1"/>
    <n v="2"/>
    <n v="0"/>
    <n v="3"/>
    <n v="6"/>
    <n v="49"/>
    <n v="1321.35"/>
  </r>
  <r>
    <n v="61"/>
    <s v="F"/>
    <x v="1"/>
    <n v="0"/>
    <n v="1"/>
    <n v="4"/>
    <n v="0"/>
    <n v="2"/>
    <n v="8"/>
    <n v="71"/>
    <n v="1397.96"/>
  </r>
  <r>
    <n v="62"/>
    <s v="F"/>
    <x v="0"/>
    <n v="0"/>
    <n v="0"/>
    <n v="6"/>
    <n v="0"/>
    <n v="5"/>
    <n v="30"/>
    <n v="67"/>
    <n v="2432.7199999999998"/>
  </r>
  <r>
    <n v="63"/>
    <s v="M"/>
    <x v="0"/>
    <n v="1"/>
    <n v="0"/>
    <n v="7"/>
    <n v="7"/>
    <n v="4"/>
    <n v="28"/>
    <n v="83"/>
    <n v="3106.8"/>
  </r>
  <r>
    <n v="64"/>
    <s v="F"/>
    <x v="0"/>
    <n v="0"/>
    <n v="0"/>
    <n v="5"/>
    <n v="0"/>
    <n v="6"/>
    <n v="30"/>
    <n v="49"/>
    <n v="2043.72"/>
  </r>
  <r>
    <n v="65"/>
    <s v="F"/>
    <x v="0"/>
    <n v="0"/>
    <n v="0"/>
    <n v="7"/>
    <n v="0"/>
    <n v="5"/>
    <n v="35"/>
    <n v="54"/>
    <n v="2625.38"/>
  </r>
  <r>
    <n v="66"/>
    <s v="M"/>
    <x v="0"/>
    <n v="1"/>
    <n v="0"/>
    <n v="3"/>
    <n v="3"/>
    <n v="5"/>
    <n v="15"/>
    <n v="38"/>
    <n v="2394.69"/>
  </r>
  <r>
    <n v="67"/>
    <s v="F"/>
    <x v="1"/>
    <n v="0"/>
    <n v="1"/>
    <n v="2"/>
    <n v="0"/>
    <n v="3"/>
    <n v="6"/>
    <n v="50"/>
    <n v="1131.32"/>
  </r>
  <r>
    <n v="68"/>
    <s v="M"/>
    <x v="0"/>
    <n v="1"/>
    <n v="0"/>
    <n v="5"/>
    <n v="5"/>
    <n v="2"/>
    <n v="10"/>
    <n v="68"/>
    <n v="2772.67"/>
  </r>
  <r>
    <n v="69"/>
    <s v="F"/>
    <x v="1"/>
    <n v="0"/>
    <n v="1"/>
    <n v="5"/>
    <n v="0"/>
    <n v="5"/>
    <n v="25"/>
    <n v="77"/>
    <n v="1986.71"/>
  </r>
  <r>
    <n v="70"/>
    <s v="M"/>
    <x v="1"/>
    <n v="1"/>
    <n v="1"/>
    <n v="5"/>
    <n v="5"/>
    <n v="5"/>
    <n v="25"/>
    <n v="40"/>
    <n v="1942.43"/>
  </r>
  <r>
    <n v="71"/>
    <s v="M"/>
    <x v="1"/>
    <n v="1"/>
    <n v="1"/>
    <n v="2"/>
    <n v="2"/>
    <n v="7"/>
    <n v="14"/>
    <n v="79"/>
    <n v="2009.67"/>
  </r>
  <r>
    <n v="72"/>
    <s v="F"/>
    <x v="0"/>
    <n v="0"/>
    <n v="0"/>
    <n v="4"/>
    <n v="0"/>
    <n v="3"/>
    <n v="12"/>
    <n v="90"/>
    <n v="2557.23"/>
  </r>
  <r>
    <n v="73"/>
    <s v="F"/>
    <x v="0"/>
    <n v="0"/>
    <n v="0"/>
    <n v="3"/>
    <n v="0"/>
    <n v="3"/>
    <n v="9"/>
    <n v="69"/>
    <n v="1949.19"/>
  </r>
  <r>
    <n v="74"/>
    <s v="M"/>
    <x v="0"/>
    <n v="1"/>
    <n v="0"/>
    <n v="6"/>
    <n v="6"/>
    <n v="5"/>
    <n v="30"/>
    <n v="101"/>
    <n v="3646.28"/>
  </r>
  <r>
    <n v="75"/>
    <s v="M"/>
    <x v="0"/>
    <n v="1"/>
    <n v="0"/>
    <n v="5"/>
    <n v="5"/>
    <n v="3"/>
    <n v="15"/>
    <n v="43"/>
    <n v="1944.25"/>
  </r>
  <r>
    <n v="76"/>
    <s v="M"/>
    <x v="1"/>
    <n v="1"/>
    <n v="1"/>
    <n v="3"/>
    <n v="3"/>
    <n v="7"/>
    <n v="21"/>
    <n v="33"/>
    <n v="1898.16"/>
  </r>
  <r>
    <n v="77"/>
    <s v="M"/>
    <x v="0"/>
    <n v="1"/>
    <n v="0"/>
    <n v="4"/>
    <n v="4"/>
    <n v="6"/>
    <n v="24"/>
    <n v="21"/>
    <n v="2300.54"/>
  </r>
  <r>
    <n v="78"/>
    <s v="F"/>
    <x v="0"/>
    <n v="0"/>
    <n v="0"/>
    <n v="3"/>
    <n v="0"/>
    <n v="3"/>
    <n v="9"/>
    <n v="93"/>
    <n v="2115.19"/>
  </r>
  <r>
    <n v="79"/>
    <s v="F"/>
    <x v="1"/>
    <n v="0"/>
    <n v="1"/>
    <n v="5"/>
    <n v="0"/>
    <n v="5"/>
    <n v="25"/>
    <n v="74"/>
    <n v="1908.43"/>
  </r>
  <r>
    <n v="80"/>
    <s v="F"/>
    <x v="0"/>
    <n v="0"/>
    <n v="0"/>
    <n v="6"/>
    <n v="0"/>
    <n v="5"/>
    <n v="30"/>
    <n v="59"/>
    <n v="2018.36"/>
  </r>
  <r>
    <n v="81"/>
    <s v="M"/>
    <x v="1"/>
    <n v="1"/>
    <n v="1"/>
    <n v="3"/>
    <n v="3"/>
    <n v="2"/>
    <n v="6"/>
    <n v="66"/>
    <n v="1572.26"/>
  </r>
  <r>
    <n v="82"/>
    <s v="M"/>
    <x v="1"/>
    <n v="1"/>
    <n v="1"/>
    <n v="5"/>
    <n v="5"/>
    <n v="6"/>
    <n v="30"/>
    <n v="35"/>
    <n v="2172.85"/>
  </r>
  <r>
    <n v="83"/>
    <s v="F"/>
    <x v="1"/>
    <n v="0"/>
    <n v="1"/>
    <n v="4"/>
    <n v="0"/>
    <n v="4"/>
    <n v="16"/>
    <n v="110"/>
    <n v="2290.8000000000002"/>
  </r>
  <r>
    <n v="84"/>
    <s v="F"/>
    <x v="0"/>
    <n v="0"/>
    <n v="0"/>
    <n v="3"/>
    <n v="0"/>
    <n v="5"/>
    <n v="15"/>
    <n v="63"/>
    <n v="1973.53"/>
  </r>
  <r>
    <n v="85"/>
    <s v="F"/>
    <x v="0"/>
    <n v="0"/>
    <n v="0"/>
    <n v="4"/>
    <n v="0"/>
    <n v="3"/>
    <n v="12"/>
    <n v="62"/>
    <n v="1859.39"/>
  </r>
  <r>
    <n v="86"/>
    <s v="F"/>
    <x v="1"/>
    <n v="0"/>
    <n v="1"/>
    <n v="3"/>
    <n v="0"/>
    <n v="6"/>
    <n v="18"/>
    <n v="76"/>
    <n v="1658.67"/>
  </r>
  <r>
    <n v="87"/>
    <s v="M"/>
    <x v="0"/>
    <n v="1"/>
    <n v="0"/>
    <n v="4"/>
    <n v="4"/>
    <n v="3"/>
    <n v="12"/>
    <n v="71"/>
    <n v="2652.93"/>
  </r>
  <r>
    <n v="88"/>
    <s v="M"/>
    <x v="1"/>
    <n v="1"/>
    <n v="1"/>
    <n v="3"/>
    <n v="3"/>
    <n v="1"/>
    <n v="3"/>
    <n v="65"/>
    <n v="1582.46"/>
  </r>
  <r>
    <n v="89"/>
    <s v="M"/>
    <x v="1"/>
    <n v="1"/>
    <n v="1"/>
    <n v="7"/>
    <n v="7"/>
    <n v="6"/>
    <n v="42"/>
    <n v="43"/>
    <n v="2506.35"/>
  </r>
  <r>
    <n v="90"/>
    <s v="F"/>
    <x v="1"/>
    <n v="0"/>
    <n v="1"/>
    <n v="5"/>
    <n v="0"/>
    <n v="2"/>
    <n v="10"/>
    <n v="70"/>
    <n v="1697.52"/>
  </r>
  <r>
    <n v="91"/>
    <s v="F"/>
    <x v="0"/>
    <n v="0"/>
    <n v="0"/>
    <n v="4"/>
    <n v="0"/>
    <n v="3"/>
    <n v="12"/>
    <n v="101"/>
    <n v="2382.44"/>
  </r>
  <r>
    <n v="92"/>
    <s v="M"/>
    <x v="0"/>
    <n v="1"/>
    <n v="0"/>
    <n v="5"/>
    <n v="5"/>
    <n v="7"/>
    <n v="35"/>
    <n v="90"/>
    <n v="3389.04"/>
  </r>
  <r>
    <n v="93"/>
    <s v="M"/>
    <x v="1"/>
    <n v="1"/>
    <n v="1"/>
    <n v="4"/>
    <n v="4"/>
    <n v="7"/>
    <n v="28"/>
    <n v="95"/>
    <n v="2381.61"/>
  </r>
  <r>
    <n v="94"/>
    <s v="M"/>
    <x v="0"/>
    <n v="1"/>
    <n v="0"/>
    <n v="4"/>
    <n v="4"/>
    <n v="4"/>
    <n v="16"/>
    <n v="49"/>
    <n v="2303.7399999999998"/>
  </r>
  <r>
    <n v="95"/>
    <s v="M"/>
    <x v="0"/>
    <n v="1"/>
    <n v="0"/>
    <n v="5"/>
    <n v="5"/>
    <n v="4"/>
    <n v="20"/>
    <n v="38"/>
    <n v="2407.5"/>
  </r>
  <r>
    <n v="96"/>
    <s v="F"/>
    <x v="0"/>
    <n v="0"/>
    <n v="0"/>
    <n v="6"/>
    <n v="0"/>
    <n v="3"/>
    <n v="18"/>
    <n v="57"/>
    <n v="1929.93"/>
  </r>
  <r>
    <n v="97"/>
    <s v="M"/>
    <x v="1"/>
    <n v="1"/>
    <n v="1"/>
    <n v="4"/>
    <n v="4"/>
    <n v="3"/>
    <n v="12"/>
    <n v="61"/>
    <n v="1925.26"/>
  </r>
  <r>
    <n v="98"/>
    <s v="F"/>
    <x v="1"/>
    <n v="0"/>
    <n v="1"/>
    <n v="4"/>
    <n v="0"/>
    <n v="3"/>
    <n v="12"/>
    <n v="84"/>
    <n v="1740.6"/>
  </r>
  <r>
    <n v="99"/>
    <s v="F"/>
    <x v="0"/>
    <n v="0"/>
    <n v="0"/>
    <n v="4"/>
    <n v="0"/>
    <n v="5"/>
    <n v="20"/>
    <n v="23"/>
    <n v="1832.97"/>
  </r>
  <r>
    <n v="100"/>
    <s v="F"/>
    <x v="0"/>
    <n v="0"/>
    <n v="0"/>
    <n v="1"/>
    <n v="0"/>
    <n v="5"/>
    <n v="5"/>
    <n v="94"/>
    <n v="2066.4299999999998"/>
  </r>
  <r>
    <n v="101"/>
    <s v="F"/>
    <x v="1"/>
    <n v="0"/>
    <n v="1"/>
    <n v="2"/>
    <n v="0"/>
    <n v="5"/>
    <n v="10"/>
    <n v="57"/>
    <n v="1109.08"/>
  </r>
  <r>
    <n v="102"/>
    <s v="M"/>
    <x v="1"/>
    <n v="1"/>
    <n v="1"/>
    <n v="7"/>
    <n v="7"/>
    <n v="5"/>
    <n v="35"/>
    <n v="51"/>
    <n v="2514.08"/>
  </r>
  <r>
    <n v="103"/>
    <s v="F"/>
    <x v="0"/>
    <n v="0"/>
    <n v="0"/>
    <n v="7"/>
    <n v="0"/>
    <n v="2"/>
    <n v="14"/>
    <n v="38"/>
    <n v="2006.88"/>
  </r>
  <r>
    <n v="104"/>
    <s v="F"/>
    <x v="0"/>
    <n v="0"/>
    <n v="0"/>
    <n v="4"/>
    <n v="0"/>
    <n v="4"/>
    <n v="16"/>
    <n v="24"/>
    <n v="1603.57"/>
  </r>
  <r>
    <n v="105"/>
    <s v="M"/>
    <x v="1"/>
    <n v="1"/>
    <n v="1"/>
    <n v="5"/>
    <n v="5"/>
    <n v="1"/>
    <n v="5"/>
    <n v="78"/>
    <n v="2036.36"/>
  </r>
  <r>
    <n v="106"/>
    <s v="F"/>
    <x v="1"/>
    <n v="0"/>
    <n v="1"/>
    <n v="5"/>
    <n v="0"/>
    <n v="4"/>
    <n v="20"/>
    <n v="62"/>
    <n v="1774.77"/>
  </r>
  <r>
    <n v="107"/>
    <s v="F"/>
    <x v="1"/>
    <n v="0"/>
    <n v="1"/>
    <n v="7"/>
    <n v="0"/>
    <n v="3"/>
    <n v="21"/>
    <n v="32"/>
    <n v="1941.38"/>
  </r>
  <r>
    <n v="108"/>
    <s v="M"/>
    <x v="1"/>
    <n v="1"/>
    <n v="1"/>
    <n v="6"/>
    <n v="6"/>
    <n v="6"/>
    <n v="36"/>
    <n v="32"/>
    <n v="2326.17"/>
  </r>
  <r>
    <n v="109"/>
    <s v="F"/>
    <x v="0"/>
    <n v="0"/>
    <n v="0"/>
    <n v="4"/>
    <n v="0"/>
    <n v="3"/>
    <n v="12"/>
    <n v="53"/>
    <n v="1980.93"/>
  </r>
  <r>
    <n v="110"/>
    <s v="F"/>
    <x v="0"/>
    <n v="0"/>
    <n v="0"/>
    <n v="3"/>
    <n v="0"/>
    <n v="2"/>
    <n v="6"/>
    <n v="97"/>
    <n v="2108.86"/>
  </r>
  <r>
    <n v="111"/>
    <s v="F"/>
    <x v="1"/>
    <n v="0"/>
    <n v="1"/>
    <n v="2"/>
    <n v="0"/>
    <n v="2"/>
    <n v="4"/>
    <n v="54"/>
    <n v="731.43"/>
  </r>
  <r>
    <n v="112"/>
    <s v="F"/>
    <x v="1"/>
    <n v="0"/>
    <n v="1"/>
    <n v="5"/>
    <n v="0"/>
    <n v="5"/>
    <n v="25"/>
    <n v="27"/>
    <n v="1462.96"/>
  </r>
  <r>
    <n v="113"/>
    <s v="M"/>
    <x v="1"/>
    <n v="1"/>
    <n v="1"/>
    <n v="4"/>
    <n v="4"/>
    <n v="4"/>
    <n v="16"/>
    <n v="55"/>
    <n v="1911.44"/>
  </r>
  <r>
    <n v="114"/>
    <s v="M"/>
    <x v="1"/>
    <n v="1"/>
    <n v="1"/>
    <n v="3"/>
    <n v="3"/>
    <n v="2"/>
    <n v="6"/>
    <n v="54"/>
    <n v="1974.02"/>
  </r>
  <r>
    <n v="115"/>
    <s v="M"/>
    <x v="0"/>
    <n v="1"/>
    <n v="0"/>
    <n v="4"/>
    <n v="4"/>
    <n v="2"/>
    <n v="8"/>
    <n v="4"/>
    <n v="1754.45"/>
  </r>
  <r>
    <n v="116"/>
    <s v="M"/>
    <x v="0"/>
    <n v="1"/>
    <n v="0"/>
    <n v="3"/>
    <n v="3"/>
    <n v="5"/>
    <n v="15"/>
    <n v="59"/>
    <n v="2383.29"/>
  </r>
  <r>
    <n v="117"/>
    <s v="M"/>
    <x v="1"/>
    <n v="1"/>
    <n v="1"/>
    <n v="7"/>
    <n v="7"/>
    <n v="2"/>
    <n v="14"/>
    <n v="55"/>
    <n v="2368.4"/>
  </r>
  <r>
    <n v="118"/>
    <s v="F"/>
    <x v="1"/>
    <n v="0"/>
    <n v="1"/>
    <n v="6"/>
    <n v="0"/>
    <n v="5"/>
    <n v="30"/>
    <n v="75"/>
    <n v="1797.95"/>
  </r>
  <r>
    <n v="119"/>
    <s v="M"/>
    <x v="1"/>
    <n v="1"/>
    <n v="1"/>
    <n v="5"/>
    <n v="5"/>
    <n v="5"/>
    <n v="25"/>
    <n v="101"/>
    <n v="2831.14"/>
  </r>
  <r>
    <n v="120"/>
    <s v="M"/>
    <x v="1"/>
    <n v="1"/>
    <n v="1"/>
    <n v="7"/>
    <n v="7"/>
    <n v="2"/>
    <n v="14"/>
    <n v="85"/>
    <n v="2787.87"/>
  </r>
  <r>
    <n v="121"/>
    <s v="M"/>
    <x v="1"/>
    <n v="1"/>
    <n v="1"/>
    <n v="5"/>
    <n v="5"/>
    <n v="2"/>
    <n v="10"/>
    <n v="54"/>
    <n v="2086.3000000000002"/>
  </r>
  <r>
    <n v="122"/>
    <s v="M"/>
    <x v="0"/>
    <n v="1"/>
    <n v="0"/>
    <n v="3"/>
    <n v="3"/>
    <n v="7"/>
    <n v="21"/>
    <n v="36"/>
    <n v="2116.2199999999998"/>
  </r>
  <r>
    <n v="123"/>
    <s v="F"/>
    <x v="0"/>
    <n v="0"/>
    <n v="0"/>
    <n v="7"/>
    <n v="0"/>
    <n v="3"/>
    <n v="21"/>
    <n v="110"/>
    <n v="3071.53"/>
  </r>
  <r>
    <n v="124"/>
    <s v="F"/>
    <x v="0"/>
    <n v="0"/>
    <n v="0"/>
    <n v="5"/>
    <n v="0"/>
    <n v="3"/>
    <n v="15"/>
    <n v="61"/>
    <n v="1857.65"/>
  </r>
  <r>
    <n v="125"/>
    <s v="F"/>
    <x v="0"/>
    <n v="0"/>
    <n v="0"/>
    <n v="3"/>
    <n v="0"/>
    <n v="5"/>
    <n v="15"/>
    <n v="60"/>
    <n v="2156.5"/>
  </r>
  <r>
    <n v="126"/>
    <s v="F"/>
    <x v="0"/>
    <n v="0"/>
    <n v="0"/>
    <n v="4"/>
    <n v="0"/>
    <n v="7"/>
    <n v="28"/>
    <n v="59"/>
    <n v="2742.19"/>
  </r>
  <r>
    <n v="127"/>
    <s v="M"/>
    <x v="0"/>
    <n v="1"/>
    <n v="0"/>
    <n v="3"/>
    <n v="3"/>
    <n v="7"/>
    <n v="21"/>
    <n v="64"/>
    <n v="2352.8000000000002"/>
  </r>
  <r>
    <n v="128"/>
    <s v="M"/>
    <x v="0"/>
    <n v="1"/>
    <n v="0"/>
    <n v="3"/>
    <n v="3"/>
    <n v="5"/>
    <n v="15"/>
    <n v="57"/>
    <n v="2200.4"/>
  </r>
  <r>
    <n v="129"/>
    <s v="F"/>
    <x v="0"/>
    <n v="0"/>
    <n v="0"/>
    <n v="6"/>
    <n v="0"/>
    <n v="3"/>
    <n v="18"/>
    <n v="47"/>
    <n v="2136.9299999999998"/>
  </r>
  <r>
    <n v="130"/>
    <s v="F"/>
    <x v="0"/>
    <n v="0"/>
    <n v="0"/>
    <n v="7"/>
    <n v="0"/>
    <n v="2"/>
    <n v="14"/>
    <n v="48"/>
    <n v="2066.34"/>
  </r>
  <r>
    <n v="131"/>
    <s v="F"/>
    <x v="0"/>
    <n v="0"/>
    <n v="0"/>
    <n v="3"/>
    <n v="0"/>
    <n v="5"/>
    <n v="15"/>
    <n v="59"/>
    <n v="1741.37"/>
  </r>
  <r>
    <n v="132"/>
    <s v="F"/>
    <x v="0"/>
    <n v="0"/>
    <n v="0"/>
    <n v="5"/>
    <n v="0"/>
    <n v="4"/>
    <n v="20"/>
    <n v="48"/>
    <n v="2105.0300000000002"/>
  </r>
  <r>
    <n v="133"/>
    <s v="F"/>
    <x v="1"/>
    <n v="0"/>
    <n v="1"/>
    <n v="4"/>
    <n v="0"/>
    <n v="3"/>
    <n v="12"/>
    <n v="44"/>
    <n v="1129.1600000000001"/>
  </r>
  <r>
    <n v="134"/>
    <s v="F"/>
    <x v="0"/>
    <n v="0"/>
    <n v="0"/>
    <n v="4"/>
    <n v="0"/>
    <n v="6"/>
    <n v="24"/>
    <n v="62"/>
    <n v="2357.98"/>
  </r>
  <r>
    <n v="135"/>
    <s v="M"/>
    <x v="0"/>
    <n v="1"/>
    <n v="0"/>
    <n v="4"/>
    <n v="4"/>
    <n v="2"/>
    <n v="8"/>
    <n v="54"/>
    <n v="2066.31"/>
  </r>
  <r>
    <n v="136"/>
    <s v="F"/>
    <x v="0"/>
    <n v="0"/>
    <n v="0"/>
    <n v="3"/>
    <n v="0"/>
    <n v="4"/>
    <n v="12"/>
    <n v="93"/>
    <n v="2551.4899999999998"/>
  </r>
  <r>
    <n v="137"/>
    <s v="F"/>
    <x v="1"/>
    <n v="0"/>
    <n v="1"/>
    <n v="5"/>
    <n v="0"/>
    <n v="1"/>
    <n v="5"/>
    <n v="4"/>
    <n v="772.18"/>
  </r>
  <r>
    <n v="138"/>
    <s v="M"/>
    <x v="0"/>
    <n v="1"/>
    <n v="0"/>
    <n v="3"/>
    <n v="3"/>
    <n v="3"/>
    <n v="9"/>
    <n v="84"/>
    <n v="2319.81"/>
  </r>
  <r>
    <n v="139"/>
    <s v="F"/>
    <x v="1"/>
    <n v="0"/>
    <n v="1"/>
    <n v="5"/>
    <n v="0"/>
    <n v="1"/>
    <n v="5"/>
    <n v="87"/>
    <n v="1822.57"/>
  </r>
  <r>
    <n v="140"/>
    <s v="M"/>
    <x v="0"/>
    <n v="1"/>
    <n v="0"/>
    <n v="5"/>
    <n v="5"/>
    <n v="2"/>
    <n v="10"/>
    <n v="14"/>
    <n v="1862.14"/>
  </r>
  <r>
    <n v="141"/>
    <s v="M"/>
    <x v="0"/>
    <n v="1"/>
    <n v="0"/>
    <n v="4"/>
    <n v="4"/>
    <n v="2"/>
    <n v="8"/>
    <n v="52"/>
    <n v="2266.2199999999998"/>
  </r>
  <r>
    <n v="142"/>
    <s v="F"/>
    <x v="0"/>
    <n v="0"/>
    <n v="0"/>
    <n v="3"/>
    <n v="0"/>
    <n v="4"/>
    <n v="12"/>
    <n v="52"/>
    <n v="2136.36"/>
  </r>
  <r>
    <n v="143"/>
    <s v="F"/>
    <x v="0"/>
    <n v="0"/>
    <n v="0"/>
    <n v="4"/>
    <n v="0"/>
    <n v="5"/>
    <n v="20"/>
    <n v="29"/>
    <n v="1580.58"/>
  </r>
  <r>
    <n v="144"/>
    <s v="F"/>
    <x v="1"/>
    <n v="0"/>
    <n v="1"/>
    <n v="6"/>
    <n v="0"/>
    <n v="4"/>
    <n v="24"/>
    <n v="43"/>
    <n v="1682.08"/>
  </r>
  <r>
    <n v="145"/>
    <s v="F"/>
    <x v="1"/>
    <n v="0"/>
    <n v="1"/>
    <n v="5"/>
    <n v="0"/>
    <n v="7"/>
    <n v="35"/>
    <n v="36"/>
    <n v="1768.38"/>
  </r>
  <r>
    <n v="146"/>
    <s v="F"/>
    <x v="1"/>
    <n v="0"/>
    <n v="1"/>
    <n v="3"/>
    <n v="0"/>
    <n v="3"/>
    <n v="9"/>
    <n v="99"/>
    <n v="1854.55"/>
  </r>
  <r>
    <n v="147"/>
    <s v="M"/>
    <x v="0"/>
    <n v="1"/>
    <n v="0"/>
    <n v="5"/>
    <n v="5"/>
    <n v="3"/>
    <n v="15"/>
    <n v="81"/>
    <n v="2548.98"/>
  </r>
  <r>
    <n v="148"/>
    <s v="F"/>
    <x v="0"/>
    <n v="0"/>
    <n v="0"/>
    <n v="6"/>
    <n v="0"/>
    <n v="6"/>
    <n v="36"/>
    <n v="88"/>
    <n v="2491.11"/>
  </r>
  <r>
    <n v="149"/>
    <s v="F"/>
    <x v="1"/>
    <n v="0"/>
    <n v="1"/>
    <n v="2"/>
    <n v="0"/>
    <n v="2"/>
    <n v="4"/>
    <n v="76"/>
    <n v="1393.17"/>
  </r>
  <r>
    <n v="150"/>
    <s v="F"/>
    <x v="0"/>
    <n v="0"/>
    <n v="0"/>
    <n v="5"/>
    <n v="0"/>
    <n v="7"/>
    <n v="35"/>
    <n v="35"/>
    <n v="2286.4299999999998"/>
  </r>
  <r>
    <n v="151"/>
    <s v="M"/>
    <x v="0"/>
    <n v="1"/>
    <n v="0"/>
    <n v="4"/>
    <n v="4"/>
    <n v="1"/>
    <n v="4"/>
    <n v="48"/>
    <n v="2149.59"/>
  </r>
  <r>
    <n v="152"/>
    <s v="F"/>
    <x v="0"/>
    <n v="0"/>
    <n v="0"/>
    <n v="5"/>
    <n v="0"/>
    <n v="7"/>
    <n v="35"/>
    <n v="71"/>
    <n v="2619.83"/>
  </r>
  <r>
    <n v="153"/>
    <s v="F"/>
    <x v="0"/>
    <n v="0"/>
    <n v="0"/>
    <n v="4"/>
    <n v="0"/>
    <n v="1"/>
    <n v="4"/>
    <n v="33"/>
    <n v="1452.8"/>
  </r>
  <r>
    <n v="154"/>
    <s v="F"/>
    <x v="1"/>
    <n v="0"/>
    <n v="1"/>
    <n v="2"/>
    <n v="0"/>
    <n v="6"/>
    <n v="12"/>
    <n v="76"/>
    <n v="1678.13"/>
  </r>
  <r>
    <n v="155"/>
    <s v="M"/>
    <x v="1"/>
    <n v="1"/>
    <n v="1"/>
    <n v="2"/>
    <n v="2"/>
    <n v="4"/>
    <n v="8"/>
    <n v="55"/>
    <n v="1525.68"/>
  </r>
  <r>
    <n v="156"/>
    <s v="F"/>
    <x v="1"/>
    <n v="0"/>
    <n v="1"/>
    <n v="5"/>
    <n v="0"/>
    <n v="7"/>
    <n v="35"/>
    <n v="52"/>
    <n v="1727.27"/>
  </r>
  <r>
    <n v="157"/>
    <s v="M"/>
    <x v="0"/>
    <n v="1"/>
    <n v="0"/>
    <n v="5"/>
    <n v="5"/>
    <n v="2"/>
    <n v="10"/>
    <n v="76"/>
    <n v="3008.5"/>
  </r>
  <r>
    <n v="158"/>
    <s v="M"/>
    <x v="0"/>
    <n v="1"/>
    <n v="0"/>
    <n v="3"/>
    <n v="3"/>
    <n v="4"/>
    <n v="12"/>
    <n v="70"/>
    <n v="2430.0300000000002"/>
  </r>
  <r>
    <n v="159"/>
    <s v="F"/>
    <x v="0"/>
    <n v="0"/>
    <n v="0"/>
    <n v="5"/>
    <n v="0"/>
    <n v="7"/>
    <n v="35"/>
    <n v="52"/>
    <n v="2156.65"/>
  </r>
  <r>
    <n v="160"/>
    <s v="M"/>
    <x v="0"/>
    <n v="1"/>
    <n v="0"/>
    <n v="2"/>
    <n v="2"/>
    <n v="4"/>
    <n v="8"/>
    <n v="86"/>
    <n v="239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871D27-10C6-4190-BCCF-1EC3870157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2:T47" firstHeaderRow="1" firstDataRow="1" firstDataCol="1"/>
  <pivotFields count="11">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Sum of Total Customer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DDE3D4-CA57-404D-BF10-723630E26E8D}" name="Table1" displayName="Table1" ref="E12:O172" totalsRowShown="0" headerRowDxfId="23" headerRowBorderDxfId="22" tableBorderDxfId="21">
  <autoFilter ref="E12:O172" xr:uid="{ADDDE3D4-CA57-404D-BF10-723630E26E8D}"/>
  <tableColumns count="11">
    <tableColumn id="1" xr3:uid="{CBADF9FD-74F0-4871-B9B0-6C818B87F4EB}" name="ID"/>
    <tableColumn id="2" xr3:uid="{566AC445-DE3E-49C2-9ECF-237D3EB21D35}" name="Gender" dataDxfId="20"/>
    <tableColumn id="3" xr3:uid="{43E3703F-B15E-4A1C-8147-EBAB44BC2842}" name="Customer Type (Existing/New)" dataDxfId="19"/>
    <tableColumn id="4" xr3:uid="{73EC6325-A8F3-4A75-8034-3D15B4395C66}" name="Dummy Gender" dataDxfId="18"/>
    <tableColumn id="5" xr3:uid="{AB5A9AFA-88DB-47D9-B70A-E97D718F9331}" name="Dummy Customer Type" dataDxfId="17"/>
    <tableColumn id="6" xr3:uid="{9CABAD3B-14CE-45B3-825A-356FB0B2C4A8}" name="Customer Satisfaction Score"/>
    <tableColumn id="7" xr3:uid="{D43F7100-C3A7-4AE2-857F-FD02A8609356}" name="Interaction(Gender*Satisfaction)">
      <calculatedColumnFormula>PRODUCT(H13,J13)</calculatedColumnFormula>
    </tableColumn>
    <tableColumn id="8" xr3:uid="{243C5BCC-84CF-407D-A075-E78E7ED2FF21}" name="Age"/>
    <tableColumn id="9" xr3:uid="{5DB022C5-A090-45BD-AEB2-F6E1A4F753FD}" name="Interaction(Age*Satisfaction)">
      <calculatedColumnFormula>PRODUCT(L13,J13)</calculatedColumnFormula>
    </tableColumn>
    <tableColumn id="10" xr3:uid="{044D33B5-F14C-4412-80B4-771296558C3A}" name="Avg. Monthly Website Visits"/>
    <tableColumn id="11" xr3:uid="{76E66089-302E-4AE6-9595-D229451EF880}" name="Total Customer 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267774-5783-43BD-AFF8-A79398214574}" name="Table2" displayName="Table2" ref="S78:U82" totalsRowShown="0" headerRowDxfId="16">
  <autoFilter ref="S78:U82" xr:uid="{76267774-5783-43BD-AFF8-A79398214574}"/>
  <tableColumns count="3">
    <tableColumn id="1" xr3:uid="{FE9E6380-AFF0-4F60-BA35-A81DAE2F807D}" name="Metric" dataDxfId="15"/>
    <tableColumn id="2" xr3:uid="{0F62CF64-F6FA-4945-8709-78519E5F2534}" name="Value" dataDxfId="14"/>
    <tableColumn id="3" xr3:uid="{706A0DC7-159E-42CC-9BB6-A2DF178C4745}" name="What It Means"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D02ABF-3910-41FB-937C-28EB1B7A8EF1}" name="Table3" displayName="Table3" ref="W78:Z84" totalsRowShown="0" headerRowDxfId="12" dataDxfId="11">
  <autoFilter ref="W78:Z84" xr:uid="{1AD02ABF-3910-41FB-937C-28EB1B7A8EF1}"/>
  <tableColumns count="4">
    <tableColumn id="1" xr3:uid="{DB4337CC-04DE-43F7-B0B9-C91306EFB56D}" name="Predictor" dataDxfId="10"/>
    <tableColumn id="2" xr3:uid="{31A71DB1-004B-4D1B-B54B-13BCA7756925}" name="Coefficient" dataDxfId="9"/>
    <tableColumn id="3" xr3:uid="{F6C4A07E-0D64-442D-8384-6C4C6E86E3BC}" name="P-value" dataDxfId="8"/>
    <tableColumn id="4" xr3:uid="{6CCC14AB-54F1-4CBE-88F0-51FF2315F377}" name="Interpretation"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4B6758-BA63-473F-BBD1-DB985AFDCFB8}" name="Table4" displayName="Table4" ref="A22:C29" totalsRowShown="0">
  <autoFilter ref="A22:C29" xr:uid="{024B6758-BA63-473F-BBD1-DB985AFDCFB8}"/>
  <tableColumns count="3">
    <tableColumn id="1" xr3:uid="{BE3AD057-5088-4562-B41D-48F7B4643754}" name="Column1"/>
    <tableColumn id="2" xr3:uid="{3A844552-BB70-47E9-8EE9-C0DEBA11622B}" name="Column2"/>
    <tableColumn id="3" xr3:uid="{E4B71A10-717B-4827-9C73-737757EAED70}" name="Column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DF62CC-4B2F-4527-8E53-2CFA589B9DA6}" name="Table5" displayName="Table5" ref="D3:E6" totalsRowShown="0">
  <autoFilter ref="D3:E6" xr:uid="{35DF62CC-4B2F-4527-8E53-2CFA589B9DA6}"/>
  <tableColumns count="2">
    <tableColumn id="1" xr3:uid="{DEE09734-9BB5-4E71-8A9E-B222C7A0A979}" name="Column1"/>
    <tableColumn id="2" xr3:uid="{4E06FA8C-0D3B-472C-9D83-B292F4F14BCE}" name="Column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CDEB72-ECBA-446F-90A2-22625B304AE6}" name="Table6" displayName="Table6" ref="G3:I8" totalsRowShown="0">
  <autoFilter ref="G3:I8" xr:uid="{92CDEB72-ECBA-446F-90A2-22625B304AE6}"/>
  <tableColumns count="3">
    <tableColumn id="1" xr3:uid="{436A9033-C659-4F30-B0B6-D4AAD87954C9}" name="Forecast"/>
    <tableColumn id="2" xr3:uid="{E1B95B07-7E97-473D-8E7D-2E0410464946}" name="Error" dataDxfId="6"/>
    <tableColumn id="3" xr3:uid="{7B60556D-A47A-41D9-906E-A3F4E09012BA}" name="Error2" dataDxfId="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D46E37-0578-4A9F-9B45-FC1047E4FE8D}" name="Table7" displayName="Table7" ref="A36:C47" totalsRowShown="0">
  <autoFilter ref="A36:C47" xr:uid="{71D46E37-0578-4A9F-9B45-FC1047E4FE8D}"/>
  <tableColumns count="3">
    <tableColumn id="1" xr3:uid="{9F10977A-D5DC-4DEE-B573-441B800AA154}" name="Column1" dataDxfId="4"/>
    <tableColumn id="2" xr3:uid="{7D005AD9-EDA0-428A-B36E-B19386378627}" name="Column2"/>
    <tableColumn id="3" xr3:uid="{35093142-A668-4698-A602-66918DAFEB7A}" name="Column3"/>
  </tableColumns>
  <tableStyleInfo name="TableStyleMedium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7BB116F-CA91-4EE6-A176-370D68C44D2A}" name="Table8" displayName="Table8" ref="E36:G44" totalsRowShown="0" dataDxfId="3">
  <autoFilter ref="E36:G44" xr:uid="{C7BB116F-CA91-4EE6-A176-370D68C44D2A}"/>
  <tableColumns count="3">
    <tableColumn id="1" xr3:uid="{86556FEC-6840-4295-B34C-F35476031B22}" name="Column1" dataDxfId="2"/>
    <tableColumn id="2" xr3:uid="{53467E30-5A07-4662-B042-996547971A0A}" name="Column2" dataDxfId="1"/>
    <tableColumn id="3" xr3:uid="{66E959BD-2ECF-460F-AA67-9F410A4E9518}" name="Column3" dataDxfId="0"/>
  </tableColumns>
  <tableStyleInfo name="TableStyleMedium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D091A7-1DFB-41E8-B81E-F2A5B0917707}" name="Table9" displayName="Table9" ref="A1:F59" totalsRowShown="0">
  <autoFilter ref="A1:F59" xr:uid="{D0D091A7-1DFB-41E8-B81E-F2A5B0917707}"/>
  <tableColumns count="6">
    <tableColumn id="1" xr3:uid="{6932FAA4-11AE-4946-9823-3F9329901008}" name="Date" dataDxfId="28"/>
    <tableColumn id="2" xr3:uid="{10C3CEF9-807D-4FAE-98DD-515C9F474BFF}" name="Number"/>
    <tableColumn id="3" xr3:uid="{C8676E1A-8105-429F-83A9-EFD075628E18}" name="Forecast(Number)" dataDxfId="27">
      <calculatedColumnFormula>_xlfn.FORECAST.ETS(A2,$B$2:$B$35,$A$2:$A$35,1,1)</calculatedColumnFormula>
    </tableColumn>
    <tableColumn id="4" xr3:uid="{B39ADC7C-1AB6-47AF-99BE-4F0127ABF393}" name="Lower Confidence Bound(Number)" dataDxfId="26">
      <calculatedColumnFormula>C2-_xlfn.FORECAST.ETS.CONFINT(A2,$B$2:$B$35,$A$2:$A$35,0.95,1,1)</calculatedColumnFormula>
    </tableColumn>
    <tableColumn id="5" xr3:uid="{FC3F4D6F-1A83-471F-BEE9-EC3991F64D03}" name="Upper Confidence Bound(Number)" dataDxfId="25">
      <calculatedColumnFormula>C2+_xlfn.FORECAST.ETS.CONFINT(A2,$B$2:$B$35,$A$2:$A$35,0.95,1,1)</calculatedColumnFormula>
    </tableColumn>
    <tableColumn id="6" xr3:uid="{954C6B8F-46FE-4676-9308-2202F564EEE0}" name="MAE" dataDxfId="2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9B5B714-6538-4959-89B8-7F752274805A}">
  <we:reference id="wa200001584" version="3.0.4.6" store="en-US" storeType="OMEX"/>
  <we:alternateReferences>
    <we:reference id="WA200001584" version="3.0.4.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7" Type="http://schemas.openxmlformats.org/officeDocument/2006/relationships/table" Target="../tables/table4.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74B3D-B805-47A8-813B-A57F29B883B7}">
  <dimension ref="A2:AI172"/>
  <sheetViews>
    <sheetView zoomScale="27" zoomScaleNormal="145" workbookViewId="0">
      <selection activeCell="A39" sqref="A39"/>
    </sheetView>
  </sheetViews>
  <sheetFormatPr defaultRowHeight="14.4" x14ac:dyDescent="0.55000000000000004"/>
  <cols>
    <col min="1" max="1" width="40.15625" customWidth="1"/>
    <col min="2" max="2" width="17.578125" bestFit="1" customWidth="1"/>
    <col min="3" max="3" width="11.15625" customWidth="1"/>
    <col min="6" max="6" width="11.734375" bestFit="1" customWidth="1"/>
    <col min="7" max="7" width="26.83984375" customWidth="1"/>
    <col min="8" max="8" width="26.5234375" bestFit="1" customWidth="1"/>
    <col min="9" max="9" width="26.5234375" style="22" customWidth="1"/>
    <col min="10" max="10" width="24.7890625" customWidth="1"/>
    <col min="11" max="11" width="28.62890625" customWidth="1"/>
    <col min="12" max="12" width="11.15625" customWidth="1"/>
    <col min="13" max="13" width="25.7890625" customWidth="1"/>
    <col min="14" max="14" width="25.15625" customWidth="1"/>
    <col min="15" max="15" width="22.15625" customWidth="1"/>
    <col min="19" max="19" width="26.62890625" bestFit="1" customWidth="1"/>
    <col min="20" max="20" width="12.3125" bestFit="1" customWidth="1"/>
    <col min="21" max="21" width="14.41796875" customWidth="1"/>
    <col min="23" max="23" width="9.89453125" customWidth="1"/>
    <col min="24" max="25" width="12.3125" bestFit="1" customWidth="1"/>
    <col min="26" max="26" width="13.83984375" customWidth="1"/>
    <col min="27" max="27" width="12.3125" bestFit="1" customWidth="1"/>
  </cols>
  <sheetData>
    <row r="2" spans="1:27" ht="29.2" customHeight="1" x14ac:dyDescent="0.55000000000000004">
      <c r="A2" s="55" t="s">
        <v>0</v>
      </c>
      <c r="B2" s="55"/>
      <c r="C2" s="55"/>
      <c r="E2" s="1" t="s">
        <v>1</v>
      </c>
      <c r="F2" s="2" t="s">
        <v>2</v>
      </c>
      <c r="G2" s="2"/>
      <c r="H2" s="2" t="s">
        <v>3</v>
      </c>
      <c r="I2" s="21"/>
      <c r="J2" s="2"/>
      <c r="K2" s="2"/>
      <c r="N2" s="2"/>
    </row>
    <row r="3" spans="1:27" x14ac:dyDescent="0.55000000000000004">
      <c r="A3" s="55"/>
      <c r="B3" s="55"/>
      <c r="C3" s="55"/>
      <c r="E3" s="1">
        <v>1</v>
      </c>
      <c r="F3" t="s">
        <v>4</v>
      </c>
      <c r="H3" t="s">
        <v>5</v>
      </c>
    </row>
    <row r="4" spans="1:27" x14ac:dyDescent="0.55000000000000004">
      <c r="A4" s="55"/>
      <c r="B4" s="55"/>
      <c r="C4" s="55"/>
      <c r="E4" s="1">
        <v>2</v>
      </c>
      <c r="F4" t="s">
        <v>6</v>
      </c>
      <c r="H4" t="s">
        <v>7</v>
      </c>
    </row>
    <row r="5" spans="1:27" x14ac:dyDescent="0.55000000000000004">
      <c r="A5" s="55"/>
      <c r="B5" s="55"/>
      <c r="C5" s="55"/>
      <c r="E5" s="1">
        <v>3</v>
      </c>
      <c r="F5" t="s">
        <v>8</v>
      </c>
      <c r="H5" t="s">
        <v>9</v>
      </c>
    </row>
    <row r="6" spans="1:27" x14ac:dyDescent="0.55000000000000004">
      <c r="A6" s="55"/>
      <c r="B6" s="55"/>
      <c r="C6" s="55"/>
      <c r="E6" s="1">
        <v>4</v>
      </c>
      <c r="F6" t="s">
        <v>10</v>
      </c>
      <c r="H6" t="s">
        <v>11</v>
      </c>
    </row>
    <row r="7" spans="1:27" x14ac:dyDescent="0.55000000000000004">
      <c r="A7" s="55"/>
      <c r="B7" s="55"/>
      <c r="C7" s="55"/>
      <c r="E7" s="1">
        <v>5</v>
      </c>
      <c r="F7" t="s">
        <v>12</v>
      </c>
      <c r="H7" t="s">
        <v>13</v>
      </c>
    </row>
    <row r="8" spans="1:27" x14ac:dyDescent="0.55000000000000004">
      <c r="A8" s="55"/>
      <c r="B8" s="55"/>
      <c r="C8" s="55"/>
      <c r="E8" s="1">
        <v>6</v>
      </c>
      <c r="F8" t="s">
        <v>14</v>
      </c>
      <c r="H8" t="s">
        <v>15</v>
      </c>
    </row>
    <row r="9" spans="1:27" x14ac:dyDescent="0.55000000000000004">
      <c r="A9" s="55"/>
      <c r="B9" s="55"/>
      <c r="C9" s="55"/>
      <c r="E9" s="1">
        <v>7</v>
      </c>
      <c r="F9" t="s">
        <v>16</v>
      </c>
      <c r="H9" t="s">
        <v>17</v>
      </c>
    </row>
    <row r="10" spans="1:27" x14ac:dyDescent="0.55000000000000004">
      <c r="A10" s="55"/>
      <c r="B10" s="55"/>
      <c r="C10" s="55"/>
    </row>
    <row r="11" spans="1:27" x14ac:dyDescent="0.55000000000000004">
      <c r="A11" s="55"/>
      <c r="B11" s="55"/>
      <c r="C11" s="55"/>
      <c r="E11" s="56" t="s">
        <v>18</v>
      </c>
      <c r="F11" s="56"/>
      <c r="G11" s="56"/>
      <c r="H11" s="56"/>
      <c r="I11" s="56"/>
      <c r="J11" s="56"/>
      <c r="K11" s="56"/>
      <c r="L11" s="56"/>
      <c r="M11" s="56"/>
      <c r="N11" s="56"/>
      <c r="O11" s="56"/>
    </row>
    <row r="12" spans="1:27" ht="14.5" customHeight="1" x14ac:dyDescent="0.55000000000000004">
      <c r="A12" s="57" t="s">
        <v>19</v>
      </c>
      <c r="B12" s="58"/>
      <c r="C12" s="3"/>
      <c r="E12" s="26" t="s">
        <v>20</v>
      </c>
      <c r="F12" s="26" t="s">
        <v>21</v>
      </c>
      <c r="G12" s="26" t="s">
        <v>22</v>
      </c>
      <c r="H12" s="26" t="s">
        <v>55</v>
      </c>
      <c r="I12" s="26" t="s">
        <v>56</v>
      </c>
      <c r="J12" s="26" t="s">
        <v>23</v>
      </c>
      <c r="K12" s="26" t="s">
        <v>57</v>
      </c>
      <c r="L12" s="26" t="s">
        <v>24</v>
      </c>
      <c r="M12" s="26" t="s">
        <v>58</v>
      </c>
      <c r="N12" s="26" t="s">
        <v>25</v>
      </c>
      <c r="O12" s="26" t="s">
        <v>26</v>
      </c>
    </row>
    <row r="13" spans="1:27" x14ac:dyDescent="0.55000000000000004">
      <c r="A13" s="59"/>
      <c r="B13" s="60"/>
      <c r="C13" s="4"/>
      <c r="E13">
        <v>1</v>
      </c>
      <c r="F13" s="19" t="s">
        <v>28</v>
      </c>
      <c r="G13" s="18" t="s">
        <v>27</v>
      </c>
      <c r="H13" s="20">
        <v>0</v>
      </c>
      <c r="I13" s="23">
        <v>0</v>
      </c>
      <c r="J13">
        <v>7</v>
      </c>
      <c r="K13">
        <f t="shared" ref="K13:K44" si="0">PRODUCT(H13,J13)</f>
        <v>0</v>
      </c>
      <c r="L13">
        <v>4</v>
      </c>
      <c r="M13">
        <f>PRODUCT(L13,J13)</f>
        <v>28</v>
      </c>
      <c r="N13">
        <v>59</v>
      </c>
      <c r="O13">
        <v>2525.38</v>
      </c>
    </row>
    <row r="14" spans="1:27" ht="14.5" customHeight="1" x14ac:dyDescent="0.55000000000000004">
      <c r="A14" s="53" t="s">
        <v>29</v>
      </c>
      <c r="B14" s="54"/>
      <c r="C14" s="5"/>
      <c r="E14">
        <v>2</v>
      </c>
      <c r="F14" s="19" t="s">
        <v>37</v>
      </c>
      <c r="G14" s="18" t="s">
        <v>31</v>
      </c>
      <c r="H14" s="20">
        <v>1</v>
      </c>
      <c r="I14" s="23">
        <v>1</v>
      </c>
      <c r="J14">
        <v>6</v>
      </c>
      <c r="K14">
        <f t="shared" si="0"/>
        <v>6</v>
      </c>
      <c r="L14">
        <v>5</v>
      </c>
      <c r="M14">
        <f t="shared" ref="M14:M77" si="1">PRODUCT(L14,J14)</f>
        <v>30</v>
      </c>
      <c r="N14">
        <v>33</v>
      </c>
      <c r="O14">
        <v>2190.73</v>
      </c>
    </row>
    <row r="15" spans="1:27" ht="15.75" customHeight="1" x14ac:dyDescent="0.55000000000000004">
      <c r="A15" s="57" t="s">
        <v>32</v>
      </c>
      <c r="B15" s="58"/>
      <c r="C15" s="61"/>
      <c r="E15">
        <v>3</v>
      </c>
      <c r="F15" s="19" t="s">
        <v>30</v>
      </c>
      <c r="G15" s="18" t="s">
        <v>31</v>
      </c>
      <c r="H15" s="20">
        <v>1</v>
      </c>
      <c r="I15" s="23">
        <v>1</v>
      </c>
      <c r="J15">
        <v>7</v>
      </c>
      <c r="K15">
        <f t="shared" si="0"/>
        <v>7</v>
      </c>
      <c r="L15">
        <v>4</v>
      </c>
      <c r="M15">
        <f t="shared" si="1"/>
        <v>28</v>
      </c>
      <c r="N15">
        <v>46</v>
      </c>
      <c r="O15">
        <v>2587.06</v>
      </c>
    </row>
    <row r="16" spans="1:27" x14ac:dyDescent="0.55000000000000004">
      <c r="A16" s="59"/>
      <c r="B16" s="60"/>
      <c r="C16" s="62"/>
      <c r="E16">
        <v>4</v>
      </c>
      <c r="F16" s="19" t="s">
        <v>30</v>
      </c>
      <c r="G16" s="18" t="s">
        <v>27</v>
      </c>
      <c r="H16" s="20">
        <v>1</v>
      </c>
      <c r="I16" s="23">
        <v>0</v>
      </c>
      <c r="J16">
        <v>4</v>
      </c>
      <c r="K16">
        <f t="shared" si="0"/>
        <v>4</v>
      </c>
      <c r="L16">
        <v>3</v>
      </c>
      <c r="M16">
        <f t="shared" si="1"/>
        <v>12</v>
      </c>
      <c r="N16">
        <v>61</v>
      </c>
      <c r="O16">
        <v>2678.38</v>
      </c>
      <c r="S16" s="34" t="s">
        <v>59</v>
      </c>
      <c r="T16" s="34"/>
      <c r="U16" s="34"/>
      <c r="V16" s="34"/>
      <c r="W16" s="34"/>
      <c r="X16" s="34"/>
      <c r="Y16" s="34"/>
      <c r="Z16" s="34"/>
      <c r="AA16" s="34"/>
    </row>
    <row r="17" spans="1:27" ht="15" customHeight="1" thickBot="1" x14ac:dyDescent="0.6">
      <c r="A17" s="53" t="s">
        <v>33</v>
      </c>
      <c r="B17" s="54"/>
      <c r="C17" s="4"/>
      <c r="E17">
        <v>5</v>
      </c>
      <c r="F17" s="19" t="s">
        <v>28</v>
      </c>
      <c r="G17" s="18" t="s">
        <v>27</v>
      </c>
      <c r="H17" s="20">
        <v>0</v>
      </c>
      <c r="I17" s="23">
        <v>0</v>
      </c>
      <c r="J17">
        <v>6</v>
      </c>
      <c r="K17">
        <f t="shared" si="0"/>
        <v>0</v>
      </c>
      <c r="L17">
        <v>7</v>
      </c>
      <c r="M17">
        <f t="shared" si="1"/>
        <v>42</v>
      </c>
      <c r="N17">
        <v>41</v>
      </c>
      <c r="O17">
        <v>2359.5100000000002</v>
      </c>
      <c r="S17" s="34"/>
      <c r="T17" s="34"/>
      <c r="U17" s="34"/>
      <c r="V17" s="34"/>
      <c r="W17" s="34"/>
      <c r="X17" s="34"/>
      <c r="Y17" s="34"/>
      <c r="Z17" s="34"/>
      <c r="AA17" s="34"/>
    </row>
    <row r="18" spans="1:27" x14ac:dyDescent="0.55000000000000004">
      <c r="A18" s="53" t="s">
        <v>34</v>
      </c>
      <c r="B18" s="54"/>
      <c r="C18" s="4"/>
      <c r="E18">
        <v>6</v>
      </c>
      <c r="F18" s="19" t="s">
        <v>28</v>
      </c>
      <c r="G18" s="18" t="s">
        <v>31</v>
      </c>
      <c r="H18" s="20">
        <v>0</v>
      </c>
      <c r="I18" s="23">
        <v>1</v>
      </c>
      <c r="J18">
        <v>5</v>
      </c>
      <c r="K18">
        <f t="shared" si="0"/>
        <v>0</v>
      </c>
      <c r="L18">
        <v>5</v>
      </c>
      <c r="M18">
        <f t="shared" si="1"/>
        <v>25</v>
      </c>
      <c r="N18">
        <v>52</v>
      </c>
      <c r="O18">
        <v>1648.51</v>
      </c>
      <c r="S18" s="35" t="s">
        <v>60</v>
      </c>
      <c r="T18" s="35"/>
      <c r="U18" s="34"/>
      <c r="V18" s="34"/>
      <c r="W18" s="34"/>
      <c r="X18" s="34"/>
      <c r="Y18" s="34"/>
      <c r="Z18" s="34"/>
      <c r="AA18" s="34"/>
    </row>
    <row r="19" spans="1:27" x14ac:dyDescent="0.55000000000000004">
      <c r="E19">
        <v>7</v>
      </c>
      <c r="F19" s="19" t="s">
        <v>28</v>
      </c>
      <c r="G19" s="18" t="s">
        <v>27</v>
      </c>
      <c r="H19" s="20">
        <v>0</v>
      </c>
      <c r="I19" s="23">
        <v>0</v>
      </c>
      <c r="J19">
        <v>7</v>
      </c>
      <c r="K19">
        <f t="shared" si="0"/>
        <v>0</v>
      </c>
      <c r="L19">
        <v>4</v>
      </c>
      <c r="M19">
        <f t="shared" si="1"/>
        <v>28</v>
      </c>
      <c r="N19">
        <v>82</v>
      </c>
      <c r="O19">
        <v>2938.05</v>
      </c>
      <c r="S19" s="34" t="s">
        <v>61</v>
      </c>
      <c r="T19" s="34">
        <v>0.94280389921204555</v>
      </c>
      <c r="U19" s="34"/>
      <c r="V19" s="34"/>
      <c r="W19" s="34"/>
      <c r="X19" s="34"/>
      <c r="Y19" s="34"/>
      <c r="Z19" s="34"/>
      <c r="AA19" s="34"/>
    </row>
    <row r="20" spans="1:27" x14ac:dyDescent="0.55000000000000004">
      <c r="E20">
        <v>8</v>
      </c>
      <c r="F20" s="19" t="s">
        <v>30</v>
      </c>
      <c r="G20" s="18" t="s">
        <v>27</v>
      </c>
      <c r="H20" s="20">
        <v>1</v>
      </c>
      <c r="I20" s="23">
        <v>0</v>
      </c>
      <c r="J20">
        <v>3</v>
      </c>
      <c r="K20">
        <f t="shared" si="0"/>
        <v>3</v>
      </c>
      <c r="L20">
        <v>4</v>
      </c>
      <c r="M20">
        <f t="shared" si="1"/>
        <v>12</v>
      </c>
      <c r="N20">
        <v>47</v>
      </c>
      <c r="O20">
        <v>2278.81</v>
      </c>
      <c r="S20" s="34" t="s">
        <v>62</v>
      </c>
      <c r="T20" s="34">
        <v>0.88887919236943702</v>
      </c>
      <c r="U20" s="34"/>
      <c r="V20" s="34"/>
      <c r="W20" s="34"/>
      <c r="X20" s="34"/>
      <c r="Y20" s="34"/>
      <c r="Z20" s="34"/>
      <c r="AA20" s="34"/>
    </row>
    <row r="21" spans="1:27" x14ac:dyDescent="0.55000000000000004">
      <c r="E21">
        <v>9</v>
      </c>
      <c r="F21" s="19" t="s">
        <v>30</v>
      </c>
      <c r="G21" s="18" t="str">
        <f>TRIM("Existing")</f>
        <v>Existing</v>
      </c>
      <c r="H21" s="20">
        <v>1</v>
      </c>
      <c r="I21" s="23">
        <v>0</v>
      </c>
      <c r="J21">
        <v>3</v>
      </c>
      <c r="K21">
        <f t="shared" si="0"/>
        <v>3</v>
      </c>
      <c r="L21">
        <v>3</v>
      </c>
      <c r="M21">
        <f t="shared" si="1"/>
        <v>9</v>
      </c>
      <c r="N21">
        <v>78</v>
      </c>
      <c r="O21">
        <v>2237.8000000000002</v>
      </c>
      <c r="S21" s="34" t="s">
        <v>63</v>
      </c>
      <c r="T21" s="34">
        <v>0.8837617867548716</v>
      </c>
      <c r="U21" s="34"/>
      <c r="V21" s="34"/>
      <c r="W21" s="34"/>
      <c r="X21" s="34"/>
      <c r="Y21" s="34"/>
      <c r="Z21" s="34"/>
      <c r="AA21" s="34"/>
    </row>
    <row r="22" spans="1:27" x14ac:dyDescent="0.55000000000000004">
      <c r="A22" s="6" t="s">
        <v>126</v>
      </c>
      <c r="B22" t="s">
        <v>127</v>
      </c>
      <c r="C22" t="s">
        <v>128</v>
      </c>
      <c r="E22">
        <v>10</v>
      </c>
      <c r="F22" s="19" t="s">
        <v>30</v>
      </c>
      <c r="G22" s="18" t="s">
        <v>27</v>
      </c>
      <c r="H22" s="20">
        <v>1</v>
      </c>
      <c r="I22" s="23">
        <v>0</v>
      </c>
      <c r="J22">
        <v>4</v>
      </c>
      <c r="K22">
        <f t="shared" si="0"/>
        <v>4</v>
      </c>
      <c r="L22">
        <v>2</v>
      </c>
      <c r="M22">
        <f t="shared" si="1"/>
        <v>8</v>
      </c>
      <c r="N22">
        <v>35</v>
      </c>
      <c r="O22">
        <v>2173.09</v>
      </c>
      <c r="S22" s="34" t="s">
        <v>64</v>
      </c>
      <c r="T22" s="34">
        <v>175.49180081307293</v>
      </c>
      <c r="U22" s="34"/>
      <c r="V22" s="34"/>
      <c r="W22" s="34"/>
      <c r="X22" s="34"/>
      <c r="Y22" s="34"/>
      <c r="Z22" s="34"/>
      <c r="AA22" s="34"/>
    </row>
    <row r="23" spans="1:27" ht="14.7" thickBot="1" x14ac:dyDescent="0.6">
      <c r="A23" s="6" t="s">
        <v>45</v>
      </c>
      <c r="E23">
        <v>11</v>
      </c>
      <c r="F23" s="19" t="s">
        <v>28</v>
      </c>
      <c r="G23" s="18" t="s">
        <v>31</v>
      </c>
      <c r="H23" s="20">
        <v>0</v>
      </c>
      <c r="I23" s="23">
        <v>1</v>
      </c>
      <c r="J23">
        <v>2</v>
      </c>
      <c r="K23">
        <f t="shared" si="0"/>
        <v>0</v>
      </c>
      <c r="L23">
        <v>3</v>
      </c>
      <c r="M23">
        <f t="shared" si="1"/>
        <v>6</v>
      </c>
      <c r="N23">
        <v>72</v>
      </c>
      <c r="O23">
        <v>1254.95</v>
      </c>
      <c r="S23" s="36" t="s">
        <v>65</v>
      </c>
      <c r="T23" s="36">
        <v>160</v>
      </c>
      <c r="U23" s="34"/>
      <c r="V23" s="34"/>
      <c r="W23" s="34"/>
      <c r="X23" s="34"/>
      <c r="Y23" s="34"/>
      <c r="Z23" s="34"/>
      <c r="AA23" s="34"/>
    </row>
    <row r="24" spans="1:27" x14ac:dyDescent="0.55000000000000004">
      <c r="A24" t="s">
        <v>46</v>
      </c>
      <c r="B24" t="s">
        <v>47</v>
      </c>
      <c r="C24" t="s">
        <v>129</v>
      </c>
      <c r="E24">
        <v>12</v>
      </c>
      <c r="F24" s="19" t="s">
        <v>30</v>
      </c>
      <c r="G24" s="18" t="s">
        <v>40</v>
      </c>
      <c r="H24" s="20">
        <v>1</v>
      </c>
      <c r="I24" s="23">
        <v>0</v>
      </c>
      <c r="J24">
        <v>4</v>
      </c>
      <c r="K24">
        <f t="shared" si="0"/>
        <v>4</v>
      </c>
      <c r="L24">
        <v>5</v>
      </c>
      <c r="M24">
        <f t="shared" si="1"/>
        <v>20</v>
      </c>
      <c r="N24">
        <v>92</v>
      </c>
      <c r="O24">
        <v>2749.51</v>
      </c>
      <c r="S24" s="34"/>
      <c r="T24" s="34"/>
      <c r="U24" s="34"/>
      <c r="V24" s="34"/>
      <c r="W24" s="34"/>
      <c r="X24" s="34"/>
      <c r="Y24" s="34"/>
      <c r="Z24" s="34"/>
      <c r="AA24" s="34"/>
    </row>
    <row r="25" spans="1:27" ht="14.7" thickBot="1" x14ac:dyDescent="0.6">
      <c r="A25" t="s">
        <v>48</v>
      </c>
      <c r="B25" t="s">
        <v>47</v>
      </c>
      <c r="C25" t="s">
        <v>129</v>
      </c>
      <c r="E25">
        <v>13</v>
      </c>
      <c r="F25" s="19" t="s">
        <v>30</v>
      </c>
      <c r="G25" s="18" t="s">
        <v>27</v>
      </c>
      <c r="H25" s="20">
        <v>1</v>
      </c>
      <c r="I25" s="23">
        <v>0</v>
      </c>
      <c r="J25">
        <v>4</v>
      </c>
      <c r="K25">
        <f t="shared" si="0"/>
        <v>4</v>
      </c>
      <c r="L25">
        <v>1</v>
      </c>
      <c r="M25">
        <f t="shared" si="1"/>
        <v>4</v>
      </c>
      <c r="N25">
        <v>6</v>
      </c>
      <c r="O25">
        <v>1769.97</v>
      </c>
      <c r="S25" s="34" t="s">
        <v>66</v>
      </c>
      <c r="T25" s="34"/>
      <c r="U25" s="34"/>
      <c r="V25" s="34"/>
      <c r="W25" s="34"/>
      <c r="X25" s="34"/>
      <c r="Y25" s="34"/>
      <c r="Z25" s="34"/>
      <c r="AA25" s="34"/>
    </row>
    <row r="26" spans="1:27" ht="14.2" customHeight="1" x14ac:dyDescent="0.55000000000000004">
      <c r="A26" t="s">
        <v>49</v>
      </c>
      <c r="B26" t="s">
        <v>50</v>
      </c>
      <c r="C26" t="s">
        <v>130</v>
      </c>
      <c r="E26">
        <v>14</v>
      </c>
      <c r="F26" s="19" t="s">
        <v>28</v>
      </c>
      <c r="G26" s="18" t="s">
        <v>27</v>
      </c>
      <c r="H26" s="20">
        <v>0</v>
      </c>
      <c r="I26" s="23">
        <v>0</v>
      </c>
      <c r="J26">
        <v>5</v>
      </c>
      <c r="K26">
        <f t="shared" si="0"/>
        <v>0</v>
      </c>
      <c r="L26">
        <v>2</v>
      </c>
      <c r="M26">
        <f t="shared" si="1"/>
        <v>10</v>
      </c>
      <c r="N26">
        <v>42</v>
      </c>
      <c r="O26">
        <v>1504.48</v>
      </c>
      <c r="S26" s="37"/>
      <c r="T26" s="37" t="s">
        <v>71</v>
      </c>
      <c r="U26" s="37" t="s">
        <v>72</v>
      </c>
      <c r="V26" s="37" t="s">
        <v>73</v>
      </c>
      <c r="W26" s="37" t="s">
        <v>28</v>
      </c>
      <c r="X26" s="37" t="s">
        <v>74</v>
      </c>
      <c r="Y26" s="34"/>
      <c r="Z26" s="34"/>
      <c r="AA26" s="34"/>
    </row>
    <row r="27" spans="1:27" ht="14.2" customHeight="1" x14ac:dyDescent="0.55000000000000004">
      <c r="A27" t="s">
        <v>24</v>
      </c>
      <c r="B27" t="s">
        <v>50</v>
      </c>
      <c r="C27" t="s">
        <v>130</v>
      </c>
      <c r="E27">
        <v>15</v>
      </c>
      <c r="F27" s="19" t="s">
        <v>28</v>
      </c>
      <c r="G27" s="18" t="s">
        <v>31</v>
      </c>
      <c r="H27" s="20">
        <v>0</v>
      </c>
      <c r="I27" s="23">
        <v>1</v>
      </c>
      <c r="J27">
        <v>5</v>
      </c>
      <c r="K27">
        <f t="shared" si="0"/>
        <v>0</v>
      </c>
      <c r="L27">
        <v>1</v>
      </c>
      <c r="M27">
        <f t="shared" si="1"/>
        <v>5</v>
      </c>
      <c r="N27">
        <v>73</v>
      </c>
      <c r="O27">
        <v>1214.27</v>
      </c>
      <c r="S27" s="34" t="s">
        <v>67</v>
      </c>
      <c r="T27" s="34">
        <v>7</v>
      </c>
      <c r="U27" s="34">
        <v>37445928.158871844</v>
      </c>
      <c r="V27" s="34">
        <v>5349418.3084102636</v>
      </c>
      <c r="W27" s="34">
        <v>173.69723241000611</v>
      </c>
      <c r="X27" s="34">
        <v>3.6262297198187912E-69</v>
      </c>
      <c r="Y27" s="34"/>
      <c r="Z27" s="34"/>
      <c r="AA27" s="34"/>
    </row>
    <row r="28" spans="1:27" ht="14.2" customHeight="1" x14ac:dyDescent="0.55000000000000004">
      <c r="A28" t="s">
        <v>51</v>
      </c>
      <c r="B28" t="s">
        <v>52</v>
      </c>
      <c r="C28" t="s">
        <v>130</v>
      </c>
      <c r="E28">
        <v>16</v>
      </c>
      <c r="F28" s="19" t="s">
        <v>28</v>
      </c>
      <c r="G28" s="18" t="s">
        <v>27</v>
      </c>
      <c r="H28" s="20">
        <v>0</v>
      </c>
      <c r="I28" s="23">
        <v>0</v>
      </c>
      <c r="J28">
        <v>7</v>
      </c>
      <c r="K28">
        <f t="shared" si="0"/>
        <v>0</v>
      </c>
      <c r="L28">
        <v>1</v>
      </c>
      <c r="M28">
        <f t="shared" si="1"/>
        <v>7</v>
      </c>
      <c r="N28">
        <v>56</v>
      </c>
      <c r="O28">
        <v>2042.17</v>
      </c>
      <c r="S28" s="34" t="s">
        <v>68</v>
      </c>
      <c r="T28" s="34">
        <v>152</v>
      </c>
      <c r="U28" s="34">
        <v>4681200.5671975203</v>
      </c>
      <c r="V28" s="34">
        <v>30797.372152615266</v>
      </c>
      <c r="W28" s="34"/>
      <c r="X28" s="34"/>
      <c r="Y28" s="34"/>
      <c r="Z28" s="34"/>
      <c r="AA28" s="34"/>
    </row>
    <row r="29" spans="1:27" ht="14.7" thickBot="1" x14ac:dyDescent="0.6">
      <c r="A29" t="s">
        <v>53</v>
      </c>
      <c r="B29" t="s">
        <v>52</v>
      </c>
      <c r="C29" t="s">
        <v>130</v>
      </c>
      <c r="E29">
        <v>17</v>
      </c>
      <c r="F29" s="19" t="s">
        <v>28</v>
      </c>
      <c r="G29" s="18" t="s">
        <v>31</v>
      </c>
      <c r="H29" s="20">
        <v>0</v>
      </c>
      <c r="I29" s="23">
        <v>1</v>
      </c>
      <c r="J29">
        <v>6</v>
      </c>
      <c r="K29">
        <f t="shared" si="0"/>
        <v>0</v>
      </c>
      <c r="L29">
        <v>6</v>
      </c>
      <c r="M29">
        <f t="shared" si="1"/>
        <v>36</v>
      </c>
      <c r="N29">
        <v>68</v>
      </c>
      <c r="O29">
        <v>1849.56</v>
      </c>
      <c r="S29" s="36" t="s">
        <v>69</v>
      </c>
      <c r="T29" s="36">
        <v>159</v>
      </c>
      <c r="U29" s="36">
        <v>42127128.726069361</v>
      </c>
      <c r="V29" s="36"/>
      <c r="W29" s="36"/>
      <c r="X29" s="36"/>
      <c r="Y29" s="34"/>
      <c r="Z29" s="34"/>
      <c r="AA29" s="34"/>
    </row>
    <row r="30" spans="1:27" ht="14.7" thickBot="1" x14ac:dyDescent="0.6">
      <c r="E30">
        <v>18</v>
      </c>
      <c r="F30" s="19" t="s">
        <v>30</v>
      </c>
      <c r="G30" s="18" t="s">
        <v>27</v>
      </c>
      <c r="H30" s="20">
        <v>1</v>
      </c>
      <c r="I30" s="23">
        <v>0</v>
      </c>
      <c r="J30">
        <v>4</v>
      </c>
      <c r="K30">
        <f t="shared" si="0"/>
        <v>4</v>
      </c>
      <c r="L30">
        <v>5</v>
      </c>
      <c r="M30">
        <f t="shared" si="1"/>
        <v>20</v>
      </c>
      <c r="N30">
        <v>47</v>
      </c>
      <c r="O30">
        <v>2492.71</v>
      </c>
      <c r="S30" s="34"/>
      <c r="T30" s="34"/>
      <c r="U30" s="34"/>
      <c r="V30" s="34"/>
      <c r="W30" s="34"/>
      <c r="X30" s="34"/>
      <c r="Y30" s="34"/>
      <c r="Z30" s="34"/>
      <c r="AA30" s="34"/>
    </row>
    <row r="31" spans="1:27" x14ac:dyDescent="0.55000000000000004">
      <c r="E31">
        <v>19</v>
      </c>
      <c r="F31" s="19" t="s">
        <v>28</v>
      </c>
      <c r="G31" s="18" t="s">
        <v>31</v>
      </c>
      <c r="H31" s="20">
        <v>0</v>
      </c>
      <c r="I31" s="23">
        <v>1</v>
      </c>
      <c r="J31">
        <v>3</v>
      </c>
      <c r="K31">
        <f t="shared" si="0"/>
        <v>0</v>
      </c>
      <c r="L31">
        <v>4</v>
      </c>
      <c r="M31">
        <f t="shared" si="1"/>
        <v>12</v>
      </c>
      <c r="N31">
        <v>62</v>
      </c>
      <c r="O31">
        <v>1285.48</v>
      </c>
      <c r="S31" s="37"/>
      <c r="T31" s="37" t="s">
        <v>75</v>
      </c>
      <c r="U31" s="37" t="s">
        <v>64</v>
      </c>
      <c r="V31" s="37" t="s">
        <v>76</v>
      </c>
      <c r="W31" s="37" t="s">
        <v>77</v>
      </c>
      <c r="X31" s="37" t="s">
        <v>78</v>
      </c>
      <c r="Y31" s="37" t="s">
        <v>79</v>
      </c>
      <c r="Z31" s="37" t="s">
        <v>80</v>
      </c>
      <c r="AA31" s="37" t="s">
        <v>81</v>
      </c>
    </row>
    <row r="32" spans="1:27" x14ac:dyDescent="0.55000000000000004">
      <c r="E32">
        <v>20</v>
      </c>
      <c r="F32" s="19" t="s">
        <v>38</v>
      </c>
      <c r="G32" s="18" t="s">
        <v>27</v>
      </c>
      <c r="H32" s="20">
        <v>0</v>
      </c>
      <c r="I32" s="23">
        <v>0</v>
      </c>
      <c r="J32">
        <v>5</v>
      </c>
      <c r="K32">
        <f t="shared" si="0"/>
        <v>0</v>
      </c>
      <c r="L32">
        <v>2</v>
      </c>
      <c r="M32">
        <f t="shared" si="1"/>
        <v>10</v>
      </c>
      <c r="N32">
        <v>57</v>
      </c>
      <c r="O32">
        <v>1734.66</v>
      </c>
      <c r="S32" s="34" t="s">
        <v>70</v>
      </c>
      <c r="T32" s="34">
        <v>587.55411137347915</v>
      </c>
      <c r="U32" s="34">
        <v>125.68279591996988</v>
      </c>
      <c r="V32" s="34">
        <v>4.6748968868230119</v>
      </c>
      <c r="W32" s="34">
        <v>6.4383864723583425E-6</v>
      </c>
      <c r="X32" s="34">
        <v>339.24337464354858</v>
      </c>
      <c r="Y32" s="34">
        <v>835.86484810340971</v>
      </c>
      <c r="Z32" s="34">
        <v>339.24337464354858</v>
      </c>
      <c r="AA32" s="34">
        <v>835.86484810340971</v>
      </c>
    </row>
    <row r="33" spans="5:27" x14ac:dyDescent="0.55000000000000004">
      <c r="E33">
        <v>21</v>
      </c>
      <c r="F33" s="19" t="s">
        <v>30</v>
      </c>
      <c r="G33" s="18" t="s">
        <v>27</v>
      </c>
      <c r="H33" s="20">
        <v>1</v>
      </c>
      <c r="I33" s="23">
        <v>0</v>
      </c>
      <c r="J33">
        <v>3</v>
      </c>
      <c r="K33">
        <f t="shared" si="0"/>
        <v>3</v>
      </c>
      <c r="L33">
        <v>4</v>
      </c>
      <c r="M33">
        <f t="shared" si="1"/>
        <v>12</v>
      </c>
      <c r="N33">
        <v>86</v>
      </c>
      <c r="O33">
        <v>2762.47</v>
      </c>
      <c r="S33" s="34" t="s">
        <v>55</v>
      </c>
      <c r="T33" s="34">
        <v>151.89303079113003</v>
      </c>
      <c r="U33" s="34">
        <v>94.595823314235304</v>
      </c>
      <c r="V33" s="34">
        <v>1.6057054684809993</v>
      </c>
      <c r="W33" s="34">
        <v>0.11041420626258595</v>
      </c>
      <c r="X33" s="34">
        <v>-34.999362927491035</v>
      </c>
      <c r="Y33" s="34">
        <v>338.78542450975112</v>
      </c>
      <c r="Z33" s="34">
        <v>-34.999362927491035</v>
      </c>
      <c r="AA33" s="34">
        <v>338.78542450975112</v>
      </c>
    </row>
    <row r="34" spans="5:27" x14ac:dyDescent="0.55000000000000004">
      <c r="E34">
        <v>22</v>
      </c>
      <c r="F34" s="19" t="s">
        <v>28</v>
      </c>
      <c r="G34" s="18" t="s">
        <v>27</v>
      </c>
      <c r="H34" s="20">
        <v>0</v>
      </c>
      <c r="I34" s="23">
        <v>0</v>
      </c>
      <c r="J34">
        <v>7</v>
      </c>
      <c r="K34">
        <f t="shared" si="0"/>
        <v>0</v>
      </c>
      <c r="L34">
        <v>4</v>
      </c>
      <c r="M34">
        <f t="shared" si="1"/>
        <v>28</v>
      </c>
      <c r="N34">
        <v>66</v>
      </c>
      <c r="O34">
        <v>2451.1</v>
      </c>
      <c r="S34" s="34" t="s">
        <v>56</v>
      </c>
      <c r="T34" s="34">
        <v>-503.01846057651409</v>
      </c>
      <c r="U34" s="34">
        <v>28.943058278043011</v>
      </c>
      <c r="V34" s="34">
        <v>-17.379589114054252</v>
      </c>
      <c r="W34" s="34">
        <v>5.9928429447415006E-38</v>
      </c>
      <c r="X34" s="34">
        <v>-560.20108506884719</v>
      </c>
      <c r="Y34" s="34">
        <v>-445.83583608418098</v>
      </c>
      <c r="Z34" s="34">
        <v>-560.20108506884719</v>
      </c>
      <c r="AA34" s="34">
        <v>-445.83583608418098</v>
      </c>
    </row>
    <row r="35" spans="5:27" x14ac:dyDescent="0.55000000000000004">
      <c r="E35">
        <v>23</v>
      </c>
      <c r="F35" s="19" t="s">
        <v>28</v>
      </c>
      <c r="G35" s="18" t="s">
        <v>31</v>
      </c>
      <c r="H35" s="20">
        <v>0</v>
      </c>
      <c r="I35" s="23">
        <v>1</v>
      </c>
      <c r="J35">
        <v>6</v>
      </c>
      <c r="K35">
        <f t="shared" si="0"/>
        <v>0</v>
      </c>
      <c r="L35">
        <v>2</v>
      </c>
      <c r="M35">
        <f t="shared" si="1"/>
        <v>12</v>
      </c>
      <c r="N35">
        <v>67</v>
      </c>
      <c r="O35">
        <v>1705.83</v>
      </c>
      <c r="S35" s="34" t="s">
        <v>23</v>
      </c>
      <c r="T35" s="34">
        <v>118.93114238366424</v>
      </c>
      <c r="U35" s="34">
        <v>24.289799106420553</v>
      </c>
      <c r="V35" s="34">
        <v>4.8963411291543792</v>
      </c>
      <c r="W35" s="34">
        <v>2.4706053703419293E-6</v>
      </c>
      <c r="X35" s="34">
        <v>70.941933781256324</v>
      </c>
      <c r="Y35" s="34">
        <v>166.92035098607215</v>
      </c>
      <c r="Z35" s="34">
        <v>70.941933781256324</v>
      </c>
      <c r="AA35" s="34">
        <v>166.92035098607215</v>
      </c>
    </row>
    <row r="36" spans="5:27" x14ac:dyDescent="0.55000000000000004">
      <c r="E36">
        <v>24</v>
      </c>
      <c r="F36" s="19" t="s">
        <v>54</v>
      </c>
      <c r="G36" s="18" t="s">
        <v>31</v>
      </c>
      <c r="H36" s="20">
        <v>0</v>
      </c>
      <c r="I36" s="23">
        <v>1</v>
      </c>
      <c r="J36">
        <v>4</v>
      </c>
      <c r="K36">
        <f t="shared" si="0"/>
        <v>0</v>
      </c>
      <c r="L36">
        <v>3</v>
      </c>
      <c r="M36">
        <f t="shared" si="1"/>
        <v>12</v>
      </c>
      <c r="N36">
        <v>51</v>
      </c>
      <c r="O36">
        <v>1123.3</v>
      </c>
      <c r="S36" s="34" t="s">
        <v>57</v>
      </c>
      <c r="T36" s="34">
        <v>75.883815642334298</v>
      </c>
      <c r="U36" s="34">
        <v>19.99137848888828</v>
      </c>
      <c r="V36" s="34">
        <v>3.7958270703799872</v>
      </c>
      <c r="W36" s="34">
        <v>2.120870886151952E-4</v>
      </c>
      <c r="X36" s="34">
        <v>36.386970553180866</v>
      </c>
      <c r="Y36" s="34">
        <v>115.38066073148772</v>
      </c>
      <c r="Z36" s="34">
        <v>36.386970553180866</v>
      </c>
      <c r="AA36" s="34">
        <v>115.38066073148772</v>
      </c>
    </row>
    <row r="37" spans="5:27" x14ac:dyDescent="0.55000000000000004">
      <c r="E37">
        <v>25</v>
      </c>
      <c r="F37" s="19" t="s">
        <v>28</v>
      </c>
      <c r="G37" s="18" t="s">
        <v>27</v>
      </c>
      <c r="H37" s="20">
        <v>0</v>
      </c>
      <c r="I37" s="23">
        <v>0</v>
      </c>
      <c r="J37">
        <v>2</v>
      </c>
      <c r="K37">
        <f t="shared" si="0"/>
        <v>0</v>
      </c>
      <c r="L37">
        <v>3</v>
      </c>
      <c r="M37">
        <f t="shared" si="1"/>
        <v>6</v>
      </c>
      <c r="N37">
        <v>49</v>
      </c>
      <c r="O37">
        <v>1552.57</v>
      </c>
      <c r="S37" s="34" t="s">
        <v>24</v>
      </c>
      <c r="T37" s="34">
        <v>82.156633413683281</v>
      </c>
      <c r="U37" s="34">
        <v>28.071732874064445</v>
      </c>
      <c r="V37" s="34">
        <v>2.9266676831905891</v>
      </c>
      <c r="W37" s="34">
        <v>3.952501205474206E-3</v>
      </c>
      <c r="X37" s="34">
        <v>26.695481231141791</v>
      </c>
      <c r="Y37" s="34">
        <v>137.61778559622476</v>
      </c>
      <c r="Z37" s="34">
        <v>26.695481231141791</v>
      </c>
      <c r="AA37" s="34">
        <v>137.61778559622476</v>
      </c>
    </row>
    <row r="38" spans="5:27" x14ac:dyDescent="0.55000000000000004">
      <c r="E38">
        <v>26</v>
      </c>
      <c r="F38" s="19" t="s">
        <v>30</v>
      </c>
      <c r="G38" s="18" t="s">
        <v>31</v>
      </c>
      <c r="H38" s="20">
        <v>1</v>
      </c>
      <c r="I38" s="23">
        <v>1</v>
      </c>
      <c r="J38">
        <v>6</v>
      </c>
      <c r="K38">
        <f t="shared" si="0"/>
        <v>6</v>
      </c>
      <c r="L38">
        <v>4</v>
      </c>
      <c r="M38">
        <f t="shared" si="1"/>
        <v>24</v>
      </c>
      <c r="N38">
        <v>50</v>
      </c>
      <c r="O38">
        <v>2306.08</v>
      </c>
      <c r="S38" s="34" t="s">
        <v>58</v>
      </c>
      <c r="T38" s="34">
        <v>0.44076245324896907</v>
      </c>
      <c r="U38" s="34">
        <v>5.7424556720511708</v>
      </c>
      <c r="V38" s="34">
        <v>7.6755046694427745E-2</v>
      </c>
      <c r="W38" s="34">
        <v>0.93891935046473596</v>
      </c>
      <c r="X38" s="34">
        <v>-10.9045723487709</v>
      </c>
      <c r="Y38" s="34">
        <v>11.786097255268837</v>
      </c>
      <c r="Z38" s="34">
        <v>-10.9045723487709</v>
      </c>
      <c r="AA38" s="34">
        <v>11.786097255268837</v>
      </c>
    </row>
    <row r="39" spans="5:27" ht="14.7" thickBot="1" x14ac:dyDescent="0.6">
      <c r="E39">
        <v>27</v>
      </c>
      <c r="F39" s="19" t="s">
        <v>28</v>
      </c>
      <c r="G39" s="18" t="s">
        <v>31</v>
      </c>
      <c r="H39" s="20">
        <v>0</v>
      </c>
      <c r="I39" s="23">
        <v>1</v>
      </c>
      <c r="J39">
        <v>4</v>
      </c>
      <c r="K39">
        <f t="shared" si="0"/>
        <v>0</v>
      </c>
      <c r="L39">
        <v>4</v>
      </c>
      <c r="M39">
        <f t="shared" si="1"/>
        <v>16</v>
      </c>
      <c r="N39">
        <v>69</v>
      </c>
      <c r="O39">
        <v>1422.31</v>
      </c>
      <c r="S39" s="36" t="s">
        <v>25</v>
      </c>
      <c r="T39" s="36">
        <v>10.554776801195434</v>
      </c>
      <c r="U39" s="36">
        <v>0.63476382971315959</v>
      </c>
      <c r="V39" s="36">
        <v>16.627880019510535</v>
      </c>
      <c r="W39" s="36">
        <v>4.9750401446255958E-36</v>
      </c>
      <c r="X39" s="36">
        <v>9.3006777572343768</v>
      </c>
      <c r="Y39" s="36">
        <v>11.808875845156491</v>
      </c>
      <c r="Z39" s="36">
        <v>9.3006777572343768</v>
      </c>
      <c r="AA39" s="36">
        <v>11.808875845156491</v>
      </c>
    </row>
    <row r="40" spans="5:27" x14ac:dyDescent="0.55000000000000004">
      <c r="E40">
        <v>28</v>
      </c>
      <c r="F40" s="19" t="s">
        <v>28</v>
      </c>
      <c r="G40" s="18" t="s">
        <v>27</v>
      </c>
      <c r="H40" s="20">
        <v>0</v>
      </c>
      <c r="I40" s="23">
        <v>0</v>
      </c>
      <c r="J40">
        <v>6</v>
      </c>
      <c r="K40">
        <f t="shared" si="0"/>
        <v>0</v>
      </c>
      <c r="L40">
        <v>1</v>
      </c>
      <c r="M40">
        <f t="shared" si="1"/>
        <v>6</v>
      </c>
      <c r="N40">
        <v>51</v>
      </c>
      <c r="O40">
        <v>2055.38</v>
      </c>
    </row>
    <row r="41" spans="5:27" x14ac:dyDescent="0.55000000000000004">
      <c r="E41">
        <v>29</v>
      </c>
      <c r="F41" s="19" t="s">
        <v>30</v>
      </c>
      <c r="G41" s="18" t="s">
        <v>27</v>
      </c>
      <c r="H41" s="20">
        <v>1</v>
      </c>
      <c r="I41" s="23">
        <v>0</v>
      </c>
      <c r="J41">
        <v>2</v>
      </c>
      <c r="K41">
        <f t="shared" si="0"/>
        <v>2</v>
      </c>
      <c r="L41">
        <v>3</v>
      </c>
      <c r="M41">
        <f t="shared" si="1"/>
        <v>6</v>
      </c>
      <c r="N41">
        <v>66</v>
      </c>
      <c r="O41">
        <v>1889.88</v>
      </c>
    </row>
    <row r="42" spans="5:27" x14ac:dyDescent="0.55000000000000004">
      <c r="E42">
        <v>30</v>
      </c>
      <c r="F42" s="19" t="s">
        <v>28</v>
      </c>
      <c r="G42" s="18" t="s">
        <v>27</v>
      </c>
      <c r="H42" s="20">
        <v>0</v>
      </c>
      <c r="I42" s="23">
        <v>0</v>
      </c>
      <c r="J42">
        <v>4</v>
      </c>
      <c r="K42">
        <f t="shared" si="0"/>
        <v>0</v>
      </c>
      <c r="L42">
        <v>4</v>
      </c>
      <c r="M42">
        <f t="shared" si="1"/>
        <v>16</v>
      </c>
      <c r="N42">
        <v>106</v>
      </c>
      <c r="O42">
        <v>2438.58</v>
      </c>
      <c r="S42" s="24" t="s">
        <v>82</v>
      </c>
      <c r="T42" t="s">
        <v>83</v>
      </c>
    </row>
    <row r="43" spans="5:27" x14ac:dyDescent="0.55000000000000004">
      <c r="E43">
        <v>31</v>
      </c>
      <c r="F43" s="19" t="s">
        <v>30</v>
      </c>
      <c r="G43" s="18" t="s">
        <v>27</v>
      </c>
      <c r="H43" s="20">
        <v>1</v>
      </c>
      <c r="I43" s="23">
        <v>0</v>
      </c>
      <c r="J43">
        <v>5</v>
      </c>
      <c r="K43">
        <f t="shared" si="0"/>
        <v>5</v>
      </c>
      <c r="L43">
        <v>4</v>
      </c>
      <c r="M43">
        <f t="shared" si="1"/>
        <v>20</v>
      </c>
      <c r="N43">
        <v>79</v>
      </c>
      <c r="O43">
        <v>2736.68</v>
      </c>
      <c r="S43" s="25" t="s">
        <v>27</v>
      </c>
      <c r="T43">
        <v>203605.30999999991</v>
      </c>
    </row>
    <row r="44" spans="5:27" x14ac:dyDescent="0.55000000000000004">
      <c r="E44">
        <v>32</v>
      </c>
      <c r="F44" s="19" t="s">
        <v>28</v>
      </c>
      <c r="G44" s="18" t="s">
        <v>39</v>
      </c>
      <c r="H44" s="20">
        <v>0</v>
      </c>
      <c r="I44" s="23">
        <v>1</v>
      </c>
      <c r="J44">
        <v>5</v>
      </c>
      <c r="K44">
        <f t="shared" si="0"/>
        <v>0</v>
      </c>
      <c r="L44">
        <v>6</v>
      </c>
      <c r="M44">
        <f t="shared" si="1"/>
        <v>30</v>
      </c>
      <c r="N44">
        <v>53</v>
      </c>
      <c r="O44">
        <v>2138.9299999999998</v>
      </c>
      <c r="S44" s="25" t="s">
        <v>40</v>
      </c>
      <c r="T44">
        <v>2749.51</v>
      </c>
    </row>
    <row r="45" spans="5:27" x14ac:dyDescent="0.55000000000000004">
      <c r="E45">
        <v>33</v>
      </c>
      <c r="F45" s="19" t="s">
        <v>28</v>
      </c>
      <c r="G45" s="18" t="s">
        <v>31</v>
      </c>
      <c r="H45" s="20">
        <v>0</v>
      </c>
      <c r="I45" s="23">
        <v>1</v>
      </c>
      <c r="J45">
        <v>4</v>
      </c>
      <c r="K45">
        <f t="shared" ref="K45:K76" si="2">PRODUCT(H45,J45)</f>
        <v>0</v>
      </c>
      <c r="L45">
        <v>4</v>
      </c>
      <c r="M45">
        <f t="shared" si="1"/>
        <v>16</v>
      </c>
      <c r="N45">
        <v>86</v>
      </c>
      <c r="O45">
        <v>1791.44</v>
      </c>
      <c r="S45" s="25" t="s">
        <v>31</v>
      </c>
      <c r="T45">
        <v>123034.18000000004</v>
      </c>
    </row>
    <row r="46" spans="5:27" x14ac:dyDescent="0.55000000000000004">
      <c r="E46">
        <v>34</v>
      </c>
      <c r="F46" s="19" t="s">
        <v>30</v>
      </c>
      <c r="G46" s="18" t="s">
        <v>31</v>
      </c>
      <c r="H46" s="20">
        <v>1</v>
      </c>
      <c r="I46" s="23">
        <v>1</v>
      </c>
      <c r="J46">
        <v>5</v>
      </c>
      <c r="K46">
        <f t="shared" si="2"/>
        <v>5</v>
      </c>
      <c r="L46">
        <v>2</v>
      </c>
      <c r="M46">
        <f t="shared" si="1"/>
        <v>10</v>
      </c>
      <c r="N46">
        <v>51</v>
      </c>
      <c r="O46">
        <v>1708.03</v>
      </c>
      <c r="S46" s="25" t="s">
        <v>39</v>
      </c>
      <c r="T46">
        <v>2138.9299999999998</v>
      </c>
    </row>
    <row r="47" spans="5:27" x14ac:dyDescent="0.55000000000000004">
      <c r="E47">
        <v>35</v>
      </c>
      <c r="F47" s="19" t="s">
        <v>30</v>
      </c>
      <c r="G47" s="18" t="s">
        <v>27</v>
      </c>
      <c r="H47" s="20">
        <v>1</v>
      </c>
      <c r="I47" s="23">
        <v>0</v>
      </c>
      <c r="J47">
        <v>3</v>
      </c>
      <c r="K47">
        <f t="shared" si="2"/>
        <v>3</v>
      </c>
      <c r="L47">
        <v>2</v>
      </c>
      <c r="M47">
        <f t="shared" si="1"/>
        <v>6</v>
      </c>
      <c r="N47">
        <v>15</v>
      </c>
      <c r="O47">
        <v>1831.28</v>
      </c>
      <c r="S47" s="25" t="s">
        <v>84</v>
      </c>
      <c r="T47">
        <v>331527.92999999993</v>
      </c>
    </row>
    <row r="48" spans="5:27" x14ac:dyDescent="0.55000000000000004">
      <c r="E48">
        <v>36</v>
      </c>
      <c r="F48" s="19" t="s">
        <v>30</v>
      </c>
      <c r="G48" s="18" t="s">
        <v>27</v>
      </c>
      <c r="H48" s="20">
        <v>1</v>
      </c>
      <c r="I48" s="23">
        <v>0</v>
      </c>
      <c r="J48">
        <v>4</v>
      </c>
      <c r="K48">
        <f t="shared" si="2"/>
        <v>4</v>
      </c>
      <c r="L48">
        <v>4</v>
      </c>
      <c r="M48">
        <f t="shared" si="1"/>
        <v>16</v>
      </c>
      <c r="N48">
        <v>38</v>
      </c>
      <c r="O48">
        <v>2035.04</v>
      </c>
    </row>
    <row r="49" spans="5:35" ht="28.2" x14ac:dyDescent="1.05">
      <c r="E49">
        <v>37</v>
      </c>
      <c r="F49" s="19" t="s">
        <v>28</v>
      </c>
      <c r="G49" s="18" t="s">
        <v>31</v>
      </c>
      <c r="H49" s="20">
        <v>0</v>
      </c>
      <c r="I49" s="23">
        <v>1</v>
      </c>
      <c r="J49">
        <v>5</v>
      </c>
      <c r="K49">
        <f t="shared" si="2"/>
        <v>0</v>
      </c>
      <c r="L49">
        <v>1</v>
      </c>
      <c r="M49">
        <f t="shared" si="1"/>
        <v>5</v>
      </c>
      <c r="N49">
        <v>19</v>
      </c>
      <c r="O49">
        <v>1095.68</v>
      </c>
      <c r="AB49" s="31" t="s">
        <v>111</v>
      </c>
      <c r="AC49" s="32"/>
      <c r="AD49" s="32"/>
      <c r="AE49" s="32"/>
      <c r="AF49" s="32"/>
      <c r="AG49" s="32"/>
      <c r="AH49" s="32"/>
      <c r="AI49" s="32"/>
    </row>
    <row r="50" spans="5:35" ht="28.2" x14ac:dyDescent="1.05">
      <c r="E50">
        <v>38</v>
      </c>
      <c r="F50" s="19" t="s">
        <v>28</v>
      </c>
      <c r="G50" s="18" t="s">
        <v>31</v>
      </c>
      <c r="H50" s="20">
        <v>0</v>
      </c>
      <c r="I50" s="23">
        <v>1</v>
      </c>
      <c r="J50">
        <v>5</v>
      </c>
      <c r="K50">
        <f t="shared" si="2"/>
        <v>0</v>
      </c>
      <c r="L50">
        <v>4</v>
      </c>
      <c r="M50">
        <f t="shared" si="1"/>
        <v>20</v>
      </c>
      <c r="N50">
        <v>52</v>
      </c>
      <c r="O50">
        <v>1235.6600000000001</v>
      </c>
      <c r="AB50" s="31" t="s">
        <v>112</v>
      </c>
      <c r="AC50" s="32"/>
      <c r="AD50" s="32"/>
      <c r="AE50" s="32"/>
      <c r="AF50" s="32"/>
      <c r="AG50" s="32"/>
      <c r="AH50" s="32"/>
      <c r="AI50" s="32"/>
    </row>
    <row r="51" spans="5:35" ht="28.2" x14ac:dyDescent="1.05">
      <c r="E51">
        <v>39</v>
      </c>
      <c r="F51" s="19" t="s">
        <v>30</v>
      </c>
      <c r="G51" s="18" t="s">
        <v>31</v>
      </c>
      <c r="H51" s="20">
        <v>1</v>
      </c>
      <c r="I51" s="23">
        <v>1</v>
      </c>
      <c r="J51">
        <v>6</v>
      </c>
      <c r="K51">
        <f t="shared" si="2"/>
        <v>6</v>
      </c>
      <c r="L51">
        <v>7</v>
      </c>
      <c r="M51">
        <f t="shared" si="1"/>
        <v>42</v>
      </c>
      <c r="N51">
        <v>60</v>
      </c>
      <c r="O51">
        <v>2377.64</v>
      </c>
      <c r="AB51" s="32"/>
      <c r="AC51" s="32"/>
      <c r="AD51" s="32"/>
      <c r="AE51" s="32"/>
      <c r="AF51" s="32"/>
      <c r="AG51" s="32"/>
      <c r="AH51" s="32"/>
      <c r="AI51" s="32"/>
    </row>
    <row r="52" spans="5:35" ht="28.2" x14ac:dyDescent="1.05">
      <c r="E52">
        <v>40</v>
      </c>
      <c r="F52" s="19" t="s">
        <v>28</v>
      </c>
      <c r="G52" s="18" t="s">
        <v>31</v>
      </c>
      <c r="H52" s="20">
        <v>0</v>
      </c>
      <c r="I52" s="23">
        <v>1</v>
      </c>
      <c r="J52">
        <v>3</v>
      </c>
      <c r="K52">
        <f t="shared" si="2"/>
        <v>0</v>
      </c>
      <c r="L52">
        <v>4</v>
      </c>
      <c r="M52">
        <f t="shared" si="1"/>
        <v>12</v>
      </c>
      <c r="N52">
        <v>97</v>
      </c>
      <c r="O52">
        <v>1810.4</v>
      </c>
      <c r="AB52" s="31" t="s">
        <v>113</v>
      </c>
      <c r="AC52" s="32"/>
      <c r="AD52" s="32"/>
      <c r="AE52" s="32"/>
      <c r="AF52" s="32"/>
      <c r="AG52" s="32"/>
      <c r="AH52" s="32"/>
      <c r="AI52" s="32"/>
    </row>
    <row r="53" spans="5:35" ht="28.2" x14ac:dyDescent="1.05">
      <c r="E53">
        <v>41</v>
      </c>
      <c r="F53" s="19" t="s">
        <v>28</v>
      </c>
      <c r="G53" s="18" t="s">
        <v>31</v>
      </c>
      <c r="H53" s="20">
        <v>0</v>
      </c>
      <c r="I53" s="23">
        <v>1</v>
      </c>
      <c r="J53">
        <v>2</v>
      </c>
      <c r="K53">
        <f t="shared" si="2"/>
        <v>0</v>
      </c>
      <c r="L53">
        <v>3</v>
      </c>
      <c r="M53">
        <f t="shared" si="1"/>
        <v>6</v>
      </c>
      <c r="N53">
        <v>67</v>
      </c>
      <c r="O53">
        <v>1438.31</v>
      </c>
      <c r="AB53" s="32"/>
      <c r="AC53" s="32"/>
      <c r="AD53" s="32"/>
      <c r="AE53" s="32"/>
      <c r="AF53" s="32"/>
      <c r="AG53" s="32"/>
      <c r="AH53" s="32"/>
      <c r="AI53" s="32"/>
    </row>
    <row r="54" spans="5:35" ht="28.2" x14ac:dyDescent="1.05">
      <c r="E54">
        <v>42</v>
      </c>
      <c r="F54" s="19" t="s">
        <v>28</v>
      </c>
      <c r="G54" s="18" t="s">
        <v>27</v>
      </c>
      <c r="H54" s="20">
        <v>0</v>
      </c>
      <c r="I54" s="23">
        <v>0</v>
      </c>
      <c r="J54">
        <v>6</v>
      </c>
      <c r="K54">
        <f t="shared" si="2"/>
        <v>0</v>
      </c>
      <c r="L54">
        <v>4</v>
      </c>
      <c r="M54">
        <f t="shared" si="1"/>
        <v>24</v>
      </c>
      <c r="N54">
        <v>55</v>
      </c>
      <c r="O54">
        <v>2307.56</v>
      </c>
      <c r="AB54" s="31" t="s">
        <v>114</v>
      </c>
      <c r="AC54" s="32"/>
      <c r="AD54" s="32"/>
      <c r="AE54" s="32"/>
      <c r="AF54" s="32"/>
      <c r="AG54" s="32"/>
      <c r="AH54" s="32"/>
      <c r="AI54" s="32"/>
    </row>
    <row r="55" spans="5:35" ht="28.2" x14ac:dyDescent="1.05">
      <c r="E55">
        <v>43</v>
      </c>
      <c r="F55" s="19" t="s">
        <v>28</v>
      </c>
      <c r="G55" s="18" t="s">
        <v>27</v>
      </c>
      <c r="H55" s="20">
        <v>0</v>
      </c>
      <c r="I55" s="23">
        <v>0</v>
      </c>
      <c r="J55">
        <v>5</v>
      </c>
      <c r="K55">
        <f t="shared" si="2"/>
        <v>0</v>
      </c>
      <c r="L55">
        <v>3</v>
      </c>
      <c r="M55">
        <f t="shared" si="1"/>
        <v>15</v>
      </c>
      <c r="N55">
        <v>78</v>
      </c>
      <c r="O55">
        <v>2255.0300000000002</v>
      </c>
      <c r="AB55" s="32"/>
      <c r="AC55" s="32"/>
      <c r="AD55" s="32"/>
      <c r="AE55" s="32"/>
      <c r="AF55" s="32"/>
      <c r="AG55" s="32"/>
      <c r="AH55" s="32"/>
      <c r="AI55" s="32"/>
    </row>
    <row r="56" spans="5:35" ht="28.2" x14ac:dyDescent="1.05">
      <c r="E56">
        <v>44</v>
      </c>
      <c r="F56" s="19" t="s">
        <v>30</v>
      </c>
      <c r="G56" s="18" t="s">
        <v>31</v>
      </c>
      <c r="H56" s="20">
        <v>1</v>
      </c>
      <c r="I56" s="23">
        <v>1</v>
      </c>
      <c r="J56">
        <v>4</v>
      </c>
      <c r="K56">
        <f t="shared" si="2"/>
        <v>4</v>
      </c>
      <c r="L56">
        <v>4</v>
      </c>
      <c r="M56">
        <f t="shared" si="1"/>
        <v>16</v>
      </c>
      <c r="N56">
        <v>11</v>
      </c>
      <c r="O56">
        <v>1446.79</v>
      </c>
      <c r="AB56" s="31" t="s">
        <v>115</v>
      </c>
      <c r="AC56" s="32"/>
      <c r="AD56" s="32"/>
      <c r="AE56" s="32"/>
      <c r="AF56" s="32"/>
      <c r="AG56" s="32"/>
      <c r="AH56" s="32"/>
      <c r="AI56" s="32"/>
    </row>
    <row r="57" spans="5:35" x14ac:dyDescent="0.55000000000000004">
      <c r="E57">
        <v>45</v>
      </c>
      <c r="F57" s="19" t="s">
        <v>28</v>
      </c>
      <c r="G57" s="18" t="s">
        <v>31</v>
      </c>
      <c r="H57" s="20">
        <v>0</v>
      </c>
      <c r="I57" s="23">
        <v>1</v>
      </c>
      <c r="J57">
        <v>7</v>
      </c>
      <c r="K57">
        <f t="shared" si="2"/>
        <v>0</v>
      </c>
      <c r="L57">
        <v>7</v>
      </c>
      <c r="M57">
        <f t="shared" si="1"/>
        <v>49</v>
      </c>
      <c r="N57">
        <v>65</v>
      </c>
      <c r="O57">
        <v>1939.08</v>
      </c>
    </row>
    <row r="58" spans="5:35" x14ac:dyDescent="0.55000000000000004">
      <c r="E58">
        <v>46</v>
      </c>
      <c r="F58" s="19" t="s">
        <v>30</v>
      </c>
      <c r="G58" s="18" t="s">
        <v>27</v>
      </c>
      <c r="H58" s="20">
        <v>1</v>
      </c>
      <c r="I58" s="23">
        <v>0</v>
      </c>
      <c r="J58">
        <v>5</v>
      </c>
      <c r="K58">
        <f t="shared" si="2"/>
        <v>5</v>
      </c>
      <c r="L58">
        <v>3</v>
      </c>
      <c r="M58">
        <f t="shared" si="1"/>
        <v>15</v>
      </c>
      <c r="N58">
        <v>77</v>
      </c>
      <c r="O58">
        <v>2611.23</v>
      </c>
    </row>
    <row r="59" spans="5:35" x14ac:dyDescent="0.55000000000000004">
      <c r="E59">
        <v>47</v>
      </c>
      <c r="F59" s="19" t="s">
        <v>28</v>
      </c>
      <c r="G59" s="18" t="s">
        <v>27</v>
      </c>
      <c r="H59" s="20">
        <v>0</v>
      </c>
      <c r="I59" s="23">
        <v>0</v>
      </c>
      <c r="J59">
        <v>6</v>
      </c>
      <c r="K59">
        <f t="shared" si="2"/>
        <v>0</v>
      </c>
      <c r="L59">
        <v>7</v>
      </c>
      <c r="M59">
        <f t="shared" si="1"/>
        <v>42</v>
      </c>
      <c r="N59">
        <v>27</v>
      </c>
      <c r="O59">
        <v>2190.48</v>
      </c>
    </row>
    <row r="60" spans="5:35" ht="25.8" x14ac:dyDescent="0.95">
      <c r="E60">
        <v>48</v>
      </c>
      <c r="F60" s="19" t="s">
        <v>30</v>
      </c>
      <c r="G60" s="18" t="s">
        <v>31</v>
      </c>
      <c r="H60" s="20">
        <v>1</v>
      </c>
      <c r="I60" s="23">
        <v>1</v>
      </c>
      <c r="J60">
        <v>5</v>
      </c>
      <c r="K60">
        <f t="shared" si="2"/>
        <v>5</v>
      </c>
      <c r="L60">
        <v>6</v>
      </c>
      <c r="M60">
        <f t="shared" si="1"/>
        <v>30</v>
      </c>
      <c r="N60">
        <v>85</v>
      </c>
      <c r="O60">
        <v>2755.85</v>
      </c>
      <c r="AB60" s="33" t="s">
        <v>125</v>
      </c>
    </row>
    <row r="61" spans="5:35" x14ac:dyDescent="0.55000000000000004">
      <c r="E61">
        <v>49</v>
      </c>
      <c r="F61" s="19" t="s">
        <v>30</v>
      </c>
      <c r="G61" s="18" t="s">
        <v>27</v>
      </c>
      <c r="H61" s="20">
        <v>1</v>
      </c>
      <c r="I61" s="23">
        <v>0</v>
      </c>
      <c r="J61">
        <v>7</v>
      </c>
      <c r="K61">
        <f t="shared" si="2"/>
        <v>7</v>
      </c>
      <c r="L61">
        <v>2</v>
      </c>
      <c r="M61">
        <f t="shared" si="1"/>
        <v>14</v>
      </c>
      <c r="N61">
        <v>67</v>
      </c>
      <c r="O61">
        <v>3068.29</v>
      </c>
      <c r="AB61" s="6" t="s">
        <v>116</v>
      </c>
    </row>
    <row r="62" spans="5:35" x14ac:dyDescent="0.55000000000000004">
      <c r="E62">
        <v>50</v>
      </c>
      <c r="F62" s="19" t="s">
        <v>28</v>
      </c>
      <c r="G62" s="18" t="s">
        <v>27</v>
      </c>
      <c r="H62" s="20">
        <v>0</v>
      </c>
      <c r="I62" s="23">
        <v>0</v>
      </c>
      <c r="J62">
        <v>7</v>
      </c>
      <c r="K62">
        <f t="shared" si="2"/>
        <v>0</v>
      </c>
      <c r="L62">
        <v>1</v>
      </c>
      <c r="M62">
        <f t="shared" si="1"/>
        <v>7</v>
      </c>
      <c r="N62">
        <v>51</v>
      </c>
      <c r="O62">
        <v>1769.02</v>
      </c>
    </row>
    <row r="63" spans="5:35" x14ac:dyDescent="0.55000000000000004">
      <c r="E63">
        <v>51</v>
      </c>
      <c r="F63" s="19" t="s">
        <v>30</v>
      </c>
      <c r="G63" s="18" t="s">
        <v>27</v>
      </c>
      <c r="H63" s="20">
        <v>1</v>
      </c>
      <c r="I63" s="23">
        <v>0</v>
      </c>
      <c r="J63">
        <v>4</v>
      </c>
      <c r="K63">
        <f t="shared" si="2"/>
        <v>4</v>
      </c>
      <c r="L63">
        <v>2</v>
      </c>
      <c r="M63">
        <f t="shared" si="1"/>
        <v>8</v>
      </c>
      <c r="N63">
        <v>74</v>
      </c>
      <c r="O63">
        <v>2482.58</v>
      </c>
      <c r="AB63" s="6" t="s">
        <v>117</v>
      </c>
    </row>
    <row r="64" spans="5:35" x14ac:dyDescent="0.55000000000000004">
      <c r="E64">
        <v>52</v>
      </c>
      <c r="F64" s="19" t="s">
        <v>30</v>
      </c>
      <c r="G64" s="18" t="s">
        <v>31</v>
      </c>
      <c r="H64" s="20">
        <v>1</v>
      </c>
      <c r="I64" s="23">
        <v>1</v>
      </c>
      <c r="J64">
        <v>6</v>
      </c>
      <c r="K64">
        <f t="shared" si="2"/>
        <v>6</v>
      </c>
      <c r="L64">
        <v>1</v>
      </c>
      <c r="M64">
        <f t="shared" si="1"/>
        <v>6</v>
      </c>
      <c r="N64">
        <v>110</v>
      </c>
      <c r="O64">
        <v>2496.83</v>
      </c>
    </row>
    <row r="65" spans="5:28" x14ac:dyDescent="0.55000000000000004">
      <c r="E65">
        <v>53</v>
      </c>
      <c r="F65" s="19" t="s">
        <v>30</v>
      </c>
      <c r="G65" s="18" t="s">
        <v>31</v>
      </c>
      <c r="H65" s="20">
        <v>1</v>
      </c>
      <c r="I65" s="23">
        <v>1</v>
      </c>
      <c r="J65">
        <v>6</v>
      </c>
      <c r="K65">
        <f t="shared" si="2"/>
        <v>6</v>
      </c>
      <c r="L65">
        <v>2</v>
      </c>
      <c r="M65">
        <f t="shared" si="1"/>
        <v>12</v>
      </c>
      <c r="N65">
        <v>64</v>
      </c>
      <c r="O65">
        <v>2112.38</v>
      </c>
      <c r="AB65" s="6" t="s">
        <v>118</v>
      </c>
    </row>
    <row r="66" spans="5:28" x14ac:dyDescent="0.55000000000000004">
      <c r="E66">
        <v>54</v>
      </c>
      <c r="F66" s="19" t="s">
        <v>30</v>
      </c>
      <c r="G66" s="18" t="s">
        <v>27</v>
      </c>
      <c r="H66" s="20">
        <v>1</v>
      </c>
      <c r="I66" s="23">
        <v>0</v>
      </c>
      <c r="J66">
        <v>7</v>
      </c>
      <c r="K66">
        <f t="shared" si="2"/>
        <v>7</v>
      </c>
      <c r="L66">
        <v>5</v>
      </c>
      <c r="M66">
        <f t="shared" si="1"/>
        <v>35</v>
      </c>
      <c r="N66">
        <v>65</v>
      </c>
      <c r="O66">
        <v>3356.22</v>
      </c>
    </row>
    <row r="67" spans="5:28" x14ac:dyDescent="0.55000000000000004">
      <c r="E67">
        <v>55</v>
      </c>
      <c r="F67" s="19" t="s">
        <v>30</v>
      </c>
      <c r="G67" s="18" t="s">
        <v>31</v>
      </c>
      <c r="H67" s="20">
        <v>1</v>
      </c>
      <c r="I67" s="23">
        <v>1</v>
      </c>
      <c r="J67">
        <v>3</v>
      </c>
      <c r="K67">
        <f t="shared" si="2"/>
        <v>3</v>
      </c>
      <c r="L67">
        <v>2</v>
      </c>
      <c r="M67">
        <f t="shared" si="1"/>
        <v>6</v>
      </c>
      <c r="N67">
        <v>50</v>
      </c>
      <c r="O67">
        <v>1665.89</v>
      </c>
      <c r="AB67" s="6" t="s">
        <v>119</v>
      </c>
    </row>
    <row r="68" spans="5:28" x14ac:dyDescent="0.55000000000000004">
      <c r="E68">
        <v>56</v>
      </c>
      <c r="F68" s="19" t="s">
        <v>30</v>
      </c>
      <c r="G68" s="18" t="s">
        <v>27</v>
      </c>
      <c r="H68" s="20">
        <v>1</v>
      </c>
      <c r="I68" s="23">
        <v>0</v>
      </c>
      <c r="J68">
        <v>6</v>
      </c>
      <c r="K68">
        <f t="shared" si="2"/>
        <v>6</v>
      </c>
      <c r="L68">
        <v>3</v>
      </c>
      <c r="M68">
        <f t="shared" si="1"/>
        <v>18</v>
      </c>
      <c r="N68">
        <v>41</v>
      </c>
      <c r="O68">
        <v>2815.94</v>
      </c>
    </row>
    <row r="69" spans="5:28" x14ac:dyDescent="0.55000000000000004">
      <c r="E69">
        <v>57</v>
      </c>
      <c r="F69" s="19" t="s">
        <v>28</v>
      </c>
      <c r="G69" s="18" t="s">
        <v>27</v>
      </c>
      <c r="H69" s="20">
        <v>0</v>
      </c>
      <c r="I69" s="23">
        <v>0</v>
      </c>
      <c r="J69">
        <v>6</v>
      </c>
      <c r="K69">
        <f t="shared" si="2"/>
        <v>0</v>
      </c>
      <c r="L69">
        <v>6</v>
      </c>
      <c r="M69">
        <f t="shared" si="1"/>
        <v>36</v>
      </c>
      <c r="N69">
        <v>78</v>
      </c>
      <c r="O69">
        <v>2492.5500000000002</v>
      </c>
      <c r="AB69" s="6" t="s">
        <v>120</v>
      </c>
    </row>
    <row r="70" spans="5:28" x14ac:dyDescent="0.55000000000000004">
      <c r="E70">
        <v>58</v>
      </c>
      <c r="F70" s="19" t="s">
        <v>28</v>
      </c>
      <c r="G70" s="18" t="s">
        <v>31</v>
      </c>
      <c r="H70" s="20">
        <v>0</v>
      </c>
      <c r="I70" s="23">
        <v>1</v>
      </c>
      <c r="J70">
        <v>2</v>
      </c>
      <c r="K70">
        <f t="shared" si="2"/>
        <v>0</v>
      </c>
      <c r="L70">
        <v>1</v>
      </c>
      <c r="M70">
        <f t="shared" si="1"/>
        <v>2</v>
      </c>
      <c r="N70">
        <v>41</v>
      </c>
      <c r="O70">
        <v>835.25</v>
      </c>
    </row>
    <row r="71" spans="5:28" x14ac:dyDescent="0.55000000000000004">
      <c r="E71">
        <v>59</v>
      </c>
      <c r="F71" s="19" t="s">
        <v>28</v>
      </c>
      <c r="G71" s="18" t="s">
        <v>31</v>
      </c>
      <c r="H71" s="20">
        <v>0</v>
      </c>
      <c r="I71" s="23">
        <v>1</v>
      </c>
      <c r="J71">
        <v>3</v>
      </c>
      <c r="K71">
        <f t="shared" si="2"/>
        <v>0</v>
      </c>
      <c r="L71">
        <v>5</v>
      </c>
      <c r="M71">
        <f t="shared" si="1"/>
        <v>15</v>
      </c>
      <c r="N71">
        <v>62</v>
      </c>
      <c r="O71">
        <v>1605.94</v>
      </c>
      <c r="AB71" s="6" t="s">
        <v>121</v>
      </c>
    </row>
    <row r="72" spans="5:28" x14ac:dyDescent="0.55000000000000004">
      <c r="E72">
        <v>60</v>
      </c>
      <c r="F72" s="19" t="s">
        <v>28</v>
      </c>
      <c r="G72" s="18" t="s">
        <v>31</v>
      </c>
      <c r="H72" s="20">
        <v>0</v>
      </c>
      <c r="I72" s="23">
        <v>1</v>
      </c>
      <c r="J72">
        <v>2</v>
      </c>
      <c r="K72">
        <f t="shared" si="2"/>
        <v>0</v>
      </c>
      <c r="L72">
        <v>3</v>
      </c>
      <c r="M72">
        <f t="shared" si="1"/>
        <v>6</v>
      </c>
      <c r="N72">
        <v>49</v>
      </c>
      <c r="O72">
        <v>1321.35</v>
      </c>
    </row>
    <row r="73" spans="5:28" x14ac:dyDescent="0.55000000000000004">
      <c r="E73">
        <v>61</v>
      </c>
      <c r="F73" s="19" t="s">
        <v>28</v>
      </c>
      <c r="G73" s="18" t="s">
        <v>31</v>
      </c>
      <c r="H73" s="20">
        <v>0</v>
      </c>
      <c r="I73" s="23">
        <v>1</v>
      </c>
      <c r="J73">
        <v>4</v>
      </c>
      <c r="K73">
        <f t="shared" si="2"/>
        <v>0</v>
      </c>
      <c r="L73">
        <v>2</v>
      </c>
      <c r="M73">
        <f t="shared" si="1"/>
        <v>8</v>
      </c>
      <c r="N73">
        <v>71</v>
      </c>
      <c r="O73">
        <v>1397.96</v>
      </c>
      <c r="AB73" s="6" t="s">
        <v>122</v>
      </c>
    </row>
    <row r="74" spans="5:28" x14ac:dyDescent="0.55000000000000004">
      <c r="E74">
        <v>62</v>
      </c>
      <c r="F74" s="19" t="s">
        <v>28</v>
      </c>
      <c r="G74" s="18" t="s">
        <v>27</v>
      </c>
      <c r="H74" s="20">
        <v>0</v>
      </c>
      <c r="I74" s="23">
        <v>0</v>
      </c>
      <c r="J74">
        <v>6</v>
      </c>
      <c r="K74">
        <f t="shared" si="2"/>
        <v>0</v>
      </c>
      <c r="L74">
        <v>5</v>
      </c>
      <c r="M74">
        <f t="shared" si="1"/>
        <v>30</v>
      </c>
      <c r="N74">
        <v>67</v>
      </c>
      <c r="O74">
        <v>2432.7199999999998</v>
      </c>
    </row>
    <row r="75" spans="5:28" x14ac:dyDescent="0.55000000000000004">
      <c r="E75">
        <v>63</v>
      </c>
      <c r="F75" s="19" t="s">
        <v>30</v>
      </c>
      <c r="G75" s="18" t="s">
        <v>27</v>
      </c>
      <c r="H75" s="20">
        <v>1</v>
      </c>
      <c r="I75" s="23">
        <v>0</v>
      </c>
      <c r="J75">
        <v>7</v>
      </c>
      <c r="K75">
        <f t="shared" si="2"/>
        <v>7</v>
      </c>
      <c r="L75">
        <v>4</v>
      </c>
      <c r="M75">
        <f t="shared" si="1"/>
        <v>28</v>
      </c>
      <c r="N75">
        <v>83</v>
      </c>
      <c r="O75">
        <v>3106.8</v>
      </c>
      <c r="AB75" s="6" t="s">
        <v>123</v>
      </c>
    </row>
    <row r="76" spans="5:28" x14ac:dyDescent="0.55000000000000004">
      <c r="E76">
        <v>64</v>
      </c>
      <c r="F76" s="19" t="s">
        <v>28</v>
      </c>
      <c r="G76" s="18" t="s">
        <v>27</v>
      </c>
      <c r="H76" s="20">
        <v>0</v>
      </c>
      <c r="I76" s="23">
        <v>0</v>
      </c>
      <c r="J76">
        <v>5</v>
      </c>
      <c r="K76">
        <f t="shared" si="2"/>
        <v>0</v>
      </c>
      <c r="L76">
        <v>6</v>
      </c>
      <c r="M76">
        <f t="shared" si="1"/>
        <v>30</v>
      </c>
      <c r="N76">
        <v>49</v>
      </c>
      <c r="O76">
        <v>2043.72</v>
      </c>
    </row>
    <row r="77" spans="5:28" ht="20.399999999999999" x14ac:dyDescent="0.75">
      <c r="E77">
        <v>65</v>
      </c>
      <c r="F77" s="19" t="s">
        <v>28</v>
      </c>
      <c r="G77" s="18" t="s">
        <v>27</v>
      </c>
      <c r="H77" s="20">
        <v>0</v>
      </c>
      <c r="I77" s="23">
        <v>0</v>
      </c>
      <c r="J77">
        <v>7</v>
      </c>
      <c r="K77">
        <f t="shared" ref="K77:K108" si="3">PRODUCT(H77,J77)</f>
        <v>0</v>
      </c>
      <c r="L77">
        <v>5</v>
      </c>
      <c r="M77">
        <f t="shared" si="1"/>
        <v>35</v>
      </c>
      <c r="N77">
        <v>54</v>
      </c>
      <c r="O77">
        <v>2625.38</v>
      </c>
      <c r="S77" s="30" t="s">
        <v>93</v>
      </c>
      <c r="W77" s="30" t="s">
        <v>110</v>
      </c>
      <c r="AB77" s="6" t="s">
        <v>124</v>
      </c>
    </row>
    <row r="78" spans="5:28" x14ac:dyDescent="0.55000000000000004">
      <c r="E78">
        <v>66</v>
      </c>
      <c r="F78" s="19" t="s">
        <v>30</v>
      </c>
      <c r="G78" s="18" t="s">
        <v>27</v>
      </c>
      <c r="H78" s="20">
        <v>1</v>
      </c>
      <c r="I78" s="23">
        <v>0</v>
      </c>
      <c r="J78">
        <v>3</v>
      </c>
      <c r="K78">
        <f t="shared" si="3"/>
        <v>3</v>
      </c>
      <c r="L78">
        <v>5</v>
      </c>
      <c r="M78">
        <f t="shared" ref="M78:M141" si="4">PRODUCT(L78,J78)</f>
        <v>15</v>
      </c>
      <c r="N78">
        <v>38</v>
      </c>
      <c r="O78">
        <v>2394.69</v>
      </c>
      <c r="S78" s="27" t="s">
        <v>85</v>
      </c>
      <c r="T78" s="27" t="s">
        <v>86</v>
      </c>
      <c r="U78" s="27" t="s">
        <v>87</v>
      </c>
      <c r="W78" s="27" t="s">
        <v>94</v>
      </c>
      <c r="X78" s="27" t="s">
        <v>95</v>
      </c>
      <c r="Y78" s="27" t="s">
        <v>77</v>
      </c>
      <c r="Z78" s="27" t="s">
        <v>96</v>
      </c>
    </row>
    <row r="79" spans="5:28" ht="72" x14ac:dyDescent="0.55000000000000004">
      <c r="E79">
        <v>67</v>
      </c>
      <c r="F79" s="19" t="s">
        <v>28</v>
      </c>
      <c r="G79" s="18" t="s">
        <v>31</v>
      </c>
      <c r="H79" s="20">
        <v>0</v>
      </c>
      <c r="I79" s="23">
        <v>1</v>
      </c>
      <c r="J79">
        <v>2</v>
      </c>
      <c r="K79">
        <f t="shared" si="3"/>
        <v>0</v>
      </c>
      <c r="L79">
        <v>3</v>
      </c>
      <c r="M79">
        <f t="shared" si="4"/>
        <v>6</v>
      </c>
      <c r="N79">
        <v>50</v>
      </c>
      <c r="O79">
        <v>1131.32</v>
      </c>
      <c r="S79" s="29" t="s">
        <v>62</v>
      </c>
      <c r="T79" s="28">
        <v>0.88900000000000001</v>
      </c>
      <c r="U79" s="28" t="s">
        <v>88</v>
      </c>
      <c r="W79" s="29" t="s">
        <v>70</v>
      </c>
      <c r="X79" s="28">
        <v>587.54999999999995</v>
      </c>
      <c r="Y79" s="28" t="s">
        <v>97</v>
      </c>
      <c r="Z79" s="28" t="s">
        <v>98</v>
      </c>
    </row>
    <row r="80" spans="5:28" ht="72" customHeight="1" x14ac:dyDescent="0.55000000000000004">
      <c r="E80">
        <v>68</v>
      </c>
      <c r="F80" s="19" t="s">
        <v>30</v>
      </c>
      <c r="G80" s="18" t="s">
        <v>27</v>
      </c>
      <c r="H80" s="20">
        <v>1</v>
      </c>
      <c r="I80" s="23">
        <v>0</v>
      </c>
      <c r="J80">
        <v>5</v>
      </c>
      <c r="K80">
        <f t="shared" si="3"/>
        <v>5</v>
      </c>
      <c r="L80">
        <v>2</v>
      </c>
      <c r="M80">
        <f t="shared" si="4"/>
        <v>10</v>
      </c>
      <c r="N80">
        <v>68</v>
      </c>
      <c r="O80">
        <v>2772.67</v>
      </c>
      <c r="S80" s="29" t="s">
        <v>63</v>
      </c>
      <c r="T80" s="28">
        <v>0.88400000000000001</v>
      </c>
      <c r="U80" s="28" t="s">
        <v>89</v>
      </c>
      <c r="W80" s="29" t="s">
        <v>99</v>
      </c>
      <c r="X80" s="28">
        <v>-503.02</v>
      </c>
      <c r="Y80" s="28" t="s">
        <v>100</v>
      </c>
      <c r="Z80" s="28" t="s">
        <v>101</v>
      </c>
    </row>
    <row r="81" spans="5:26" ht="57.6" x14ac:dyDescent="0.55000000000000004">
      <c r="E81">
        <v>69</v>
      </c>
      <c r="F81" s="19" t="s">
        <v>28</v>
      </c>
      <c r="G81" s="18" t="s">
        <v>31</v>
      </c>
      <c r="H81" s="20">
        <v>0</v>
      </c>
      <c r="I81" s="23">
        <v>1</v>
      </c>
      <c r="J81">
        <v>5</v>
      </c>
      <c r="K81">
        <f t="shared" si="3"/>
        <v>0</v>
      </c>
      <c r="L81">
        <v>5</v>
      </c>
      <c r="M81">
        <f t="shared" si="4"/>
        <v>25</v>
      </c>
      <c r="N81">
        <v>77</v>
      </c>
      <c r="O81">
        <v>1986.71</v>
      </c>
      <c r="S81" s="29" t="s">
        <v>64</v>
      </c>
      <c r="T81" s="28">
        <v>175.49</v>
      </c>
      <c r="U81" s="28" t="s">
        <v>90</v>
      </c>
      <c r="W81" s="29" t="s">
        <v>102</v>
      </c>
      <c r="X81" s="28">
        <v>118.93</v>
      </c>
      <c r="Y81" s="28" t="s">
        <v>103</v>
      </c>
      <c r="Z81" s="28" t="s">
        <v>104</v>
      </c>
    </row>
    <row r="82" spans="5:26" ht="86.4" customHeight="1" x14ac:dyDescent="0.55000000000000004">
      <c r="E82">
        <v>70</v>
      </c>
      <c r="F82" s="19" t="s">
        <v>30</v>
      </c>
      <c r="G82" s="18" t="s">
        <v>31</v>
      </c>
      <c r="H82" s="20">
        <v>1</v>
      </c>
      <c r="I82" s="23">
        <v>1</v>
      </c>
      <c r="J82">
        <v>5</v>
      </c>
      <c r="K82">
        <f t="shared" si="3"/>
        <v>5</v>
      </c>
      <c r="L82">
        <v>5</v>
      </c>
      <c r="M82">
        <f t="shared" si="4"/>
        <v>25</v>
      </c>
      <c r="N82">
        <v>40</v>
      </c>
      <c r="O82">
        <v>1942.43</v>
      </c>
      <c r="S82" s="29" t="s">
        <v>74</v>
      </c>
      <c r="T82" s="28" t="s">
        <v>91</v>
      </c>
      <c r="U82" s="28" t="s">
        <v>92</v>
      </c>
      <c r="W82" s="29" t="s">
        <v>105</v>
      </c>
      <c r="X82" s="28">
        <v>75.88</v>
      </c>
      <c r="Y82" s="28">
        <v>2.1000000000000001E-4</v>
      </c>
      <c r="Z82" s="28" t="s">
        <v>106</v>
      </c>
    </row>
    <row r="83" spans="5:26" ht="43.2" x14ac:dyDescent="0.55000000000000004">
      <c r="E83">
        <v>71</v>
      </c>
      <c r="F83" s="19" t="s">
        <v>30</v>
      </c>
      <c r="G83" s="18" t="s">
        <v>31</v>
      </c>
      <c r="H83" s="20">
        <v>1</v>
      </c>
      <c r="I83" s="23">
        <v>1</v>
      </c>
      <c r="J83">
        <v>2</v>
      </c>
      <c r="K83">
        <f t="shared" si="3"/>
        <v>2</v>
      </c>
      <c r="L83">
        <v>7</v>
      </c>
      <c r="M83">
        <f t="shared" si="4"/>
        <v>14</v>
      </c>
      <c r="N83">
        <v>79</v>
      </c>
      <c r="O83">
        <v>2009.67</v>
      </c>
      <c r="W83" s="29" t="s">
        <v>24</v>
      </c>
      <c r="X83" s="28">
        <v>82.16</v>
      </c>
      <c r="Y83" s="28">
        <v>3.9500000000000004E-3</v>
      </c>
      <c r="Z83" s="28" t="s">
        <v>107</v>
      </c>
    </row>
    <row r="84" spans="5:26" ht="57.6" x14ac:dyDescent="0.55000000000000004">
      <c r="E84">
        <v>72</v>
      </c>
      <c r="F84" s="19" t="s">
        <v>28</v>
      </c>
      <c r="G84" s="18" t="s">
        <v>27</v>
      </c>
      <c r="H84" s="20">
        <v>0</v>
      </c>
      <c r="I84" s="23">
        <v>0</v>
      </c>
      <c r="J84">
        <v>4</v>
      </c>
      <c r="K84">
        <f t="shared" si="3"/>
        <v>0</v>
      </c>
      <c r="L84">
        <v>3</v>
      </c>
      <c r="M84">
        <f t="shared" si="4"/>
        <v>12</v>
      </c>
      <c r="N84">
        <v>90</v>
      </c>
      <c r="O84">
        <v>2557.23</v>
      </c>
      <c r="W84" s="29" t="s">
        <v>51</v>
      </c>
      <c r="X84" s="28">
        <v>10.55</v>
      </c>
      <c r="Y84" s="28" t="s">
        <v>108</v>
      </c>
      <c r="Z84" s="28" t="s">
        <v>109</v>
      </c>
    </row>
    <row r="85" spans="5:26" x14ac:dyDescent="0.55000000000000004">
      <c r="E85">
        <v>73</v>
      </c>
      <c r="F85" s="19" t="s">
        <v>28</v>
      </c>
      <c r="G85" s="18" t="s">
        <v>27</v>
      </c>
      <c r="H85" s="20">
        <v>0</v>
      </c>
      <c r="I85" s="23">
        <v>0</v>
      </c>
      <c r="J85">
        <v>3</v>
      </c>
      <c r="K85">
        <f t="shared" si="3"/>
        <v>0</v>
      </c>
      <c r="L85">
        <v>3</v>
      </c>
      <c r="M85">
        <f t="shared" si="4"/>
        <v>9</v>
      </c>
      <c r="N85">
        <v>69</v>
      </c>
      <c r="O85">
        <v>1949.19</v>
      </c>
    </row>
    <row r="86" spans="5:26" x14ac:dyDescent="0.55000000000000004">
      <c r="E86">
        <v>74</v>
      </c>
      <c r="F86" s="19" t="s">
        <v>30</v>
      </c>
      <c r="G86" s="18" t="s">
        <v>27</v>
      </c>
      <c r="H86" s="20">
        <v>1</v>
      </c>
      <c r="I86" s="23">
        <v>0</v>
      </c>
      <c r="J86">
        <v>6</v>
      </c>
      <c r="K86">
        <f t="shared" si="3"/>
        <v>6</v>
      </c>
      <c r="L86">
        <v>5</v>
      </c>
      <c r="M86">
        <f t="shared" si="4"/>
        <v>30</v>
      </c>
      <c r="N86">
        <v>101</v>
      </c>
      <c r="O86">
        <v>3646.28</v>
      </c>
    </row>
    <row r="87" spans="5:26" x14ac:dyDescent="0.55000000000000004">
      <c r="E87">
        <v>75</v>
      </c>
      <c r="F87" s="19" t="s">
        <v>30</v>
      </c>
      <c r="G87" s="18" t="s">
        <v>27</v>
      </c>
      <c r="H87" s="20">
        <v>1</v>
      </c>
      <c r="I87" s="23">
        <v>0</v>
      </c>
      <c r="J87">
        <v>5</v>
      </c>
      <c r="K87">
        <f t="shared" si="3"/>
        <v>5</v>
      </c>
      <c r="L87">
        <v>3</v>
      </c>
      <c r="M87">
        <f t="shared" si="4"/>
        <v>15</v>
      </c>
      <c r="N87">
        <v>43</v>
      </c>
      <c r="O87">
        <v>1944.25</v>
      </c>
    </row>
    <row r="88" spans="5:26" x14ac:dyDescent="0.55000000000000004">
      <c r="E88">
        <v>76</v>
      </c>
      <c r="F88" s="19" t="s">
        <v>30</v>
      </c>
      <c r="G88" s="18" t="s">
        <v>31</v>
      </c>
      <c r="H88" s="20">
        <v>1</v>
      </c>
      <c r="I88" s="23">
        <v>1</v>
      </c>
      <c r="J88">
        <v>3</v>
      </c>
      <c r="K88">
        <f t="shared" si="3"/>
        <v>3</v>
      </c>
      <c r="L88">
        <v>7</v>
      </c>
      <c r="M88">
        <f t="shared" si="4"/>
        <v>21</v>
      </c>
      <c r="N88">
        <v>33</v>
      </c>
      <c r="O88">
        <v>1898.16</v>
      </c>
    </row>
    <row r="89" spans="5:26" x14ac:dyDescent="0.55000000000000004">
      <c r="E89">
        <v>77</v>
      </c>
      <c r="F89" s="19" t="s">
        <v>30</v>
      </c>
      <c r="G89" s="18" t="s">
        <v>27</v>
      </c>
      <c r="H89" s="20">
        <v>1</v>
      </c>
      <c r="I89" s="23">
        <v>0</v>
      </c>
      <c r="J89">
        <v>4</v>
      </c>
      <c r="K89">
        <f t="shared" si="3"/>
        <v>4</v>
      </c>
      <c r="L89">
        <v>6</v>
      </c>
      <c r="M89">
        <f t="shared" si="4"/>
        <v>24</v>
      </c>
      <c r="N89">
        <v>21</v>
      </c>
      <c r="O89">
        <v>2300.54</v>
      </c>
    </row>
    <row r="90" spans="5:26" x14ac:dyDescent="0.55000000000000004">
      <c r="E90">
        <v>78</v>
      </c>
      <c r="F90" s="19" t="s">
        <v>28</v>
      </c>
      <c r="G90" s="18" t="s">
        <v>27</v>
      </c>
      <c r="H90" s="20">
        <v>0</v>
      </c>
      <c r="I90" s="23">
        <v>0</v>
      </c>
      <c r="J90">
        <v>3</v>
      </c>
      <c r="K90">
        <f t="shared" si="3"/>
        <v>0</v>
      </c>
      <c r="L90">
        <v>3</v>
      </c>
      <c r="M90">
        <f t="shared" si="4"/>
        <v>9</v>
      </c>
      <c r="N90">
        <v>93</v>
      </c>
      <c r="O90">
        <v>2115.19</v>
      </c>
    </row>
    <row r="91" spans="5:26" x14ac:dyDescent="0.55000000000000004">
      <c r="E91">
        <v>79</v>
      </c>
      <c r="F91" s="19" t="s">
        <v>28</v>
      </c>
      <c r="G91" s="18" t="s">
        <v>31</v>
      </c>
      <c r="H91" s="20">
        <v>0</v>
      </c>
      <c r="I91" s="23">
        <v>1</v>
      </c>
      <c r="J91">
        <v>5</v>
      </c>
      <c r="K91">
        <f t="shared" si="3"/>
        <v>0</v>
      </c>
      <c r="L91">
        <v>5</v>
      </c>
      <c r="M91">
        <f t="shared" si="4"/>
        <v>25</v>
      </c>
      <c r="N91">
        <v>74</v>
      </c>
      <c r="O91">
        <v>1908.43</v>
      </c>
    </row>
    <row r="92" spans="5:26" x14ac:dyDescent="0.55000000000000004">
      <c r="E92">
        <v>80</v>
      </c>
      <c r="F92" s="19" t="s">
        <v>28</v>
      </c>
      <c r="G92" s="18" t="s">
        <v>27</v>
      </c>
      <c r="H92" s="20">
        <v>0</v>
      </c>
      <c r="I92" s="23">
        <v>0</v>
      </c>
      <c r="J92">
        <v>6</v>
      </c>
      <c r="K92">
        <f t="shared" si="3"/>
        <v>0</v>
      </c>
      <c r="L92">
        <v>5</v>
      </c>
      <c r="M92">
        <f t="shared" si="4"/>
        <v>30</v>
      </c>
      <c r="N92">
        <v>59</v>
      </c>
      <c r="O92">
        <v>2018.36</v>
      </c>
    </row>
    <row r="93" spans="5:26" x14ac:dyDescent="0.55000000000000004">
      <c r="E93">
        <v>81</v>
      </c>
      <c r="F93" s="19" t="s">
        <v>30</v>
      </c>
      <c r="G93" s="18" t="s">
        <v>31</v>
      </c>
      <c r="H93" s="20">
        <v>1</v>
      </c>
      <c r="I93" s="23">
        <v>1</v>
      </c>
      <c r="J93">
        <v>3</v>
      </c>
      <c r="K93">
        <f t="shared" si="3"/>
        <v>3</v>
      </c>
      <c r="L93">
        <v>2</v>
      </c>
      <c r="M93">
        <f t="shared" si="4"/>
        <v>6</v>
      </c>
      <c r="N93">
        <v>66</v>
      </c>
      <c r="O93">
        <v>1572.26</v>
      </c>
    </row>
    <row r="94" spans="5:26" x14ac:dyDescent="0.55000000000000004">
      <c r="E94">
        <v>82</v>
      </c>
      <c r="F94" s="19" t="s">
        <v>30</v>
      </c>
      <c r="G94" s="18" t="s">
        <v>31</v>
      </c>
      <c r="H94" s="20">
        <v>1</v>
      </c>
      <c r="I94" s="23">
        <v>1</v>
      </c>
      <c r="J94">
        <v>5</v>
      </c>
      <c r="K94">
        <f t="shared" si="3"/>
        <v>5</v>
      </c>
      <c r="L94">
        <v>6</v>
      </c>
      <c r="M94">
        <f t="shared" si="4"/>
        <v>30</v>
      </c>
      <c r="N94">
        <v>35</v>
      </c>
      <c r="O94">
        <v>2172.85</v>
      </c>
    </row>
    <row r="95" spans="5:26" x14ac:dyDescent="0.55000000000000004">
      <c r="E95">
        <v>83</v>
      </c>
      <c r="F95" s="19" t="s">
        <v>28</v>
      </c>
      <c r="G95" s="18" t="s">
        <v>31</v>
      </c>
      <c r="H95" s="20">
        <v>0</v>
      </c>
      <c r="I95" s="23">
        <v>1</v>
      </c>
      <c r="J95">
        <v>4</v>
      </c>
      <c r="K95">
        <f t="shared" si="3"/>
        <v>0</v>
      </c>
      <c r="L95">
        <v>4</v>
      </c>
      <c r="M95">
        <f t="shared" si="4"/>
        <v>16</v>
      </c>
      <c r="N95">
        <v>110</v>
      </c>
      <c r="O95">
        <v>2290.8000000000002</v>
      </c>
    </row>
    <row r="96" spans="5:26" x14ac:dyDescent="0.55000000000000004">
      <c r="E96">
        <v>84</v>
      </c>
      <c r="F96" s="19" t="s">
        <v>28</v>
      </c>
      <c r="G96" s="18" t="s">
        <v>27</v>
      </c>
      <c r="H96" s="20">
        <v>0</v>
      </c>
      <c r="I96" s="23">
        <v>0</v>
      </c>
      <c r="J96">
        <v>3</v>
      </c>
      <c r="K96">
        <f t="shared" si="3"/>
        <v>0</v>
      </c>
      <c r="L96">
        <v>5</v>
      </c>
      <c r="M96">
        <f t="shared" si="4"/>
        <v>15</v>
      </c>
      <c r="N96">
        <v>63</v>
      </c>
      <c r="O96">
        <v>1973.53</v>
      </c>
    </row>
    <row r="97" spans="5:15" x14ac:dyDescent="0.55000000000000004">
      <c r="E97">
        <v>85</v>
      </c>
      <c r="F97" s="19" t="s">
        <v>28</v>
      </c>
      <c r="G97" s="18" t="s">
        <v>27</v>
      </c>
      <c r="H97" s="20">
        <v>0</v>
      </c>
      <c r="I97" s="23">
        <v>0</v>
      </c>
      <c r="J97">
        <v>4</v>
      </c>
      <c r="K97">
        <f t="shared" si="3"/>
        <v>0</v>
      </c>
      <c r="L97">
        <v>3</v>
      </c>
      <c r="M97">
        <f t="shared" si="4"/>
        <v>12</v>
      </c>
      <c r="N97">
        <v>62</v>
      </c>
      <c r="O97">
        <v>1859.39</v>
      </c>
    </row>
    <row r="98" spans="5:15" x14ac:dyDescent="0.55000000000000004">
      <c r="E98">
        <v>86</v>
      </c>
      <c r="F98" s="19" t="s">
        <v>28</v>
      </c>
      <c r="G98" s="18" t="s">
        <v>31</v>
      </c>
      <c r="H98" s="20">
        <v>0</v>
      </c>
      <c r="I98" s="23">
        <v>1</v>
      </c>
      <c r="J98">
        <v>3</v>
      </c>
      <c r="K98">
        <f t="shared" si="3"/>
        <v>0</v>
      </c>
      <c r="L98">
        <v>6</v>
      </c>
      <c r="M98">
        <f t="shared" si="4"/>
        <v>18</v>
      </c>
      <c r="N98">
        <v>76</v>
      </c>
      <c r="O98">
        <v>1658.67</v>
      </c>
    </row>
    <row r="99" spans="5:15" x14ac:dyDescent="0.55000000000000004">
      <c r="E99">
        <v>87</v>
      </c>
      <c r="F99" s="19" t="s">
        <v>30</v>
      </c>
      <c r="G99" s="18" t="s">
        <v>27</v>
      </c>
      <c r="H99" s="20">
        <v>1</v>
      </c>
      <c r="I99" s="23">
        <v>0</v>
      </c>
      <c r="J99">
        <v>4</v>
      </c>
      <c r="K99">
        <f t="shared" si="3"/>
        <v>4</v>
      </c>
      <c r="L99">
        <v>3</v>
      </c>
      <c r="M99">
        <f t="shared" si="4"/>
        <v>12</v>
      </c>
      <c r="N99">
        <v>71</v>
      </c>
      <c r="O99">
        <v>2652.93</v>
      </c>
    </row>
    <row r="100" spans="5:15" x14ac:dyDescent="0.55000000000000004">
      <c r="E100">
        <v>88</v>
      </c>
      <c r="F100" s="19" t="s">
        <v>30</v>
      </c>
      <c r="G100" s="18" t="s">
        <v>31</v>
      </c>
      <c r="H100" s="20">
        <v>1</v>
      </c>
      <c r="I100" s="23">
        <v>1</v>
      </c>
      <c r="J100">
        <v>3</v>
      </c>
      <c r="K100">
        <f t="shared" si="3"/>
        <v>3</v>
      </c>
      <c r="L100">
        <v>1</v>
      </c>
      <c r="M100">
        <f t="shared" si="4"/>
        <v>3</v>
      </c>
      <c r="N100">
        <v>65</v>
      </c>
      <c r="O100">
        <v>1582.46</v>
      </c>
    </row>
    <row r="101" spans="5:15" x14ac:dyDescent="0.55000000000000004">
      <c r="E101">
        <v>89</v>
      </c>
      <c r="F101" s="19" t="s">
        <v>30</v>
      </c>
      <c r="G101" s="18" t="s">
        <v>31</v>
      </c>
      <c r="H101" s="20">
        <v>1</v>
      </c>
      <c r="I101" s="23">
        <v>1</v>
      </c>
      <c r="J101">
        <v>7</v>
      </c>
      <c r="K101">
        <f t="shared" si="3"/>
        <v>7</v>
      </c>
      <c r="L101">
        <v>6</v>
      </c>
      <c r="M101">
        <f t="shared" si="4"/>
        <v>42</v>
      </c>
      <c r="N101">
        <v>43</v>
      </c>
      <c r="O101">
        <v>2506.35</v>
      </c>
    </row>
    <row r="102" spans="5:15" x14ac:dyDescent="0.55000000000000004">
      <c r="E102">
        <v>90</v>
      </c>
      <c r="F102" s="19" t="s">
        <v>28</v>
      </c>
      <c r="G102" s="18" t="s">
        <v>31</v>
      </c>
      <c r="H102" s="20">
        <v>0</v>
      </c>
      <c r="I102" s="23">
        <v>1</v>
      </c>
      <c r="J102">
        <v>5</v>
      </c>
      <c r="K102">
        <f t="shared" si="3"/>
        <v>0</v>
      </c>
      <c r="L102">
        <v>2</v>
      </c>
      <c r="M102">
        <f t="shared" si="4"/>
        <v>10</v>
      </c>
      <c r="N102">
        <v>70</v>
      </c>
      <c r="O102">
        <v>1697.52</v>
      </c>
    </row>
    <row r="103" spans="5:15" x14ac:dyDescent="0.55000000000000004">
      <c r="E103">
        <v>91</v>
      </c>
      <c r="F103" s="19" t="s">
        <v>28</v>
      </c>
      <c r="G103" s="18" t="s">
        <v>27</v>
      </c>
      <c r="H103" s="20">
        <v>0</v>
      </c>
      <c r="I103" s="23">
        <v>0</v>
      </c>
      <c r="J103">
        <v>4</v>
      </c>
      <c r="K103">
        <f t="shared" si="3"/>
        <v>0</v>
      </c>
      <c r="L103">
        <v>3</v>
      </c>
      <c r="M103">
        <f t="shared" si="4"/>
        <v>12</v>
      </c>
      <c r="N103">
        <v>101</v>
      </c>
      <c r="O103">
        <v>2382.44</v>
      </c>
    </row>
    <row r="104" spans="5:15" x14ac:dyDescent="0.55000000000000004">
      <c r="E104">
        <v>92</v>
      </c>
      <c r="F104" s="19" t="s">
        <v>30</v>
      </c>
      <c r="G104" s="18" t="s">
        <v>27</v>
      </c>
      <c r="H104" s="20">
        <v>1</v>
      </c>
      <c r="I104" s="23">
        <v>0</v>
      </c>
      <c r="J104">
        <v>5</v>
      </c>
      <c r="K104">
        <f t="shared" si="3"/>
        <v>5</v>
      </c>
      <c r="L104">
        <v>7</v>
      </c>
      <c r="M104">
        <f t="shared" si="4"/>
        <v>35</v>
      </c>
      <c r="N104">
        <v>90</v>
      </c>
      <c r="O104">
        <v>3389.04</v>
      </c>
    </row>
    <row r="105" spans="5:15" x14ac:dyDescent="0.55000000000000004">
      <c r="E105">
        <v>93</v>
      </c>
      <c r="F105" s="19" t="s">
        <v>30</v>
      </c>
      <c r="G105" s="18" t="s">
        <v>31</v>
      </c>
      <c r="H105" s="20">
        <v>1</v>
      </c>
      <c r="I105" s="23">
        <v>1</v>
      </c>
      <c r="J105">
        <v>4</v>
      </c>
      <c r="K105">
        <f t="shared" si="3"/>
        <v>4</v>
      </c>
      <c r="L105">
        <v>7</v>
      </c>
      <c r="M105">
        <f t="shared" si="4"/>
        <v>28</v>
      </c>
      <c r="N105">
        <v>95</v>
      </c>
      <c r="O105">
        <v>2381.61</v>
      </c>
    </row>
    <row r="106" spans="5:15" x14ac:dyDescent="0.55000000000000004">
      <c r="E106">
        <v>94</v>
      </c>
      <c r="F106" s="19" t="s">
        <v>30</v>
      </c>
      <c r="G106" s="18" t="s">
        <v>27</v>
      </c>
      <c r="H106" s="20">
        <v>1</v>
      </c>
      <c r="I106" s="23">
        <v>0</v>
      </c>
      <c r="J106">
        <v>4</v>
      </c>
      <c r="K106">
        <f t="shared" si="3"/>
        <v>4</v>
      </c>
      <c r="L106">
        <v>4</v>
      </c>
      <c r="M106">
        <f t="shared" si="4"/>
        <v>16</v>
      </c>
      <c r="N106">
        <v>49</v>
      </c>
      <c r="O106">
        <v>2303.7399999999998</v>
      </c>
    </row>
    <row r="107" spans="5:15" x14ac:dyDescent="0.55000000000000004">
      <c r="E107">
        <v>95</v>
      </c>
      <c r="F107" s="19" t="s">
        <v>30</v>
      </c>
      <c r="G107" s="18" t="s">
        <v>27</v>
      </c>
      <c r="H107" s="20">
        <v>1</v>
      </c>
      <c r="I107" s="23">
        <v>0</v>
      </c>
      <c r="J107">
        <v>5</v>
      </c>
      <c r="K107">
        <f t="shared" si="3"/>
        <v>5</v>
      </c>
      <c r="L107">
        <v>4</v>
      </c>
      <c r="M107">
        <f t="shared" si="4"/>
        <v>20</v>
      </c>
      <c r="N107">
        <v>38</v>
      </c>
      <c r="O107">
        <v>2407.5</v>
      </c>
    </row>
    <row r="108" spans="5:15" x14ac:dyDescent="0.55000000000000004">
      <c r="E108">
        <v>96</v>
      </c>
      <c r="F108" s="19" t="s">
        <v>28</v>
      </c>
      <c r="G108" s="18" t="s">
        <v>27</v>
      </c>
      <c r="H108" s="20">
        <v>0</v>
      </c>
      <c r="I108" s="23">
        <v>0</v>
      </c>
      <c r="J108">
        <v>6</v>
      </c>
      <c r="K108">
        <f t="shared" si="3"/>
        <v>0</v>
      </c>
      <c r="L108">
        <v>3</v>
      </c>
      <c r="M108">
        <f t="shared" si="4"/>
        <v>18</v>
      </c>
      <c r="N108">
        <v>57</v>
      </c>
      <c r="O108">
        <v>1929.93</v>
      </c>
    </row>
    <row r="109" spans="5:15" x14ac:dyDescent="0.55000000000000004">
      <c r="E109">
        <v>97</v>
      </c>
      <c r="F109" s="19" t="s">
        <v>30</v>
      </c>
      <c r="G109" s="18" t="s">
        <v>31</v>
      </c>
      <c r="H109" s="20">
        <v>1</v>
      </c>
      <c r="I109" s="23">
        <v>1</v>
      </c>
      <c r="J109">
        <v>4</v>
      </c>
      <c r="K109">
        <f t="shared" ref="K109:K140" si="5">PRODUCT(H109,J109)</f>
        <v>4</v>
      </c>
      <c r="L109">
        <v>3</v>
      </c>
      <c r="M109">
        <f t="shared" si="4"/>
        <v>12</v>
      </c>
      <c r="N109">
        <v>61</v>
      </c>
      <c r="O109">
        <v>1925.26</v>
      </c>
    </row>
    <row r="110" spans="5:15" x14ac:dyDescent="0.55000000000000004">
      <c r="E110">
        <v>98</v>
      </c>
      <c r="F110" s="19" t="s">
        <v>28</v>
      </c>
      <c r="G110" s="18" t="s">
        <v>31</v>
      </c>
      <c r="H110" s="20">
        <v>0</v>
      </c>
      <c r="I110" s="23">
        <v>1</v>
      </c>
      <c r="J110">
        <v>4</v>
      </c>
      <c r="K110">
        <f t="shared" si="5"/>
        <v>0</v>
      </c>
      <c r="L110">
        <v>3</v>
      </c>
      <c r="M110">
        <f t="shared" si="4"/>
        <v>12</v>
      </c>
      <c r="N110">
        <v>84</v>
      </c>
      <c r="O110">
        <v>1740.6</v>
      </c>
    </row>
    <row r="111" spans="5:15" x14ac:dyDescent="0.55000000000000004">
      <c r="E111">
        <v>99</v>
      </c>
      <c r="F111" s="19" t="s">
        <v>28</v>
      </c>
      <c r="G111" s="18" t="s">
        <v>27</v>
      </c>
      <c r="H111" s="20">
        <v>0</v>
      </c>
      <c r="I111" s="23">
        <v>0</v>
      </c>
      <c r="J111">
        <v>4</v>
      </c>
      <c r="K111">
        <f t="shared" si="5"/>
        <v>0</v>
      </c>
      <c r="L111">
        <v>5</v>
      </c>
      <c r="M111">
        <f t="shared" si="4"/>
        <v>20</v>
      </c>
      <c r="N111">
        <v>23</v>
      </c>
      <c r="O111">
        <v>1832.97</v>
      </c>
    </row>
    <row r="112" spans="5:15" x14ac:dyDescent="0.55000000000000004">
      <c r="E112">
        <v>100</v>
      </c>
      <c r="F112" s="19" t="s">
        <v>28</v>
      </c>
      <c r="G112" s="18" t="s">
        <v>27</v>
      </c>
      <c r="H112" s="20">
        <v>0</v>
      </c>
      <c r="I112" s="23">
        <v>0</v>
      </c>
      <c r="J112">
        <v>1</v>
      </c>
      <c r="K112">
        <f t="shared" si="5"/>
        <v>0</v>
      </c>
      <c r="L112">
        <v>5</v>
      </c>
      <c r="M112">
        <f t="shared" si="4"/>
        <v>5</v>
      </c>
      <c r="N112">
        <v>94</v>
      </c>
      <c r="O112">
        <v>2066.4299999999998</v>
      </c>
    </row>
    <row r="113" spans="5:15" x14ac:dyDescent="0.55000000000000004">
      <c r="E113">
        <v>101</v>
      </c>
      <c r="F113" s="19" t="s">
        <v>28</v>
      </c>
      <c r="G113" s="18" t="s">
        <v>31</v>
      </c>
      <c r="H113" s="20">
        <v>0</v>
      </c>
      <c r="I113" s="23">
        <v>1</v>
      </c>
      <c r="J113">
        <v>2</v>
      </c>
      <c r="K113">
        <f t="shared" si="5"/>
        <v>0</v>
      </c>
      <c r="L113">
        <v>5</v>
      </c>
      <c r="M113">
        <f t="shared" si="4"/>
        <v>10</v>
      </c>
      <c r="N113">
        <v>57</v>
      </c>
      <c r="O113">
        <v>1109.08</v>
      </c>
    </row>
    <row r="114" spans="5:15" x14ac:dyDescent="0.55000000000000004">
      <c r="E114">
        <v>102</v>
      </c>
      <c r="F114" s="19" t="s">
        <v>30</v>
      </c>
      <c r="G114" s="18" t="s">
        <v>31</v>
      </c>
      <c r="H114" s="20">
        <v>1</v>
      </c>
      <c r="I114" s="23">
        <v>1</v>
      </c>
      <c r="J114">
        <v>7</v>
      </c>
      <c r="K114">
        <f t="shared" si="5"/>
        <v>7</v>
      </c>
      <c r="L114">
        <v>5</v>
      </c>
      <c r="M114">
        <f t="shared" si="4"/>
        <v>35</v>
      </c>
      <c r="N114">
        <v>51</v>
      </c>
      <c r="O114">
        <v>2514.08</v>
      </c>
    </row>
    <row r="115" spans="5:15" x14ac:dyDescent="0.55000000000000004">
      <c r="E115">
        <v>103</v>
      </c>
      <c r="F115" s="19" t="s">
        <v>28</v>
      </c>
      <c r="G115" s="18" t="s">
        <v>27</v>
      </c>
      <c r="H115" s="20">
        <v>0</v>
      </c>
      <c r="I115" s="23">
        <v>0</v>
      </c>
      <c r="J115">
        <v>7</v>
      </c>
      <c r="K115">
        <f t="shared" si="5"/>
        <v>0</v>
      </c>
      <c r="L115">
        <v>2</v>
      </c>
      <c r="M115">
        <f t="shared" si="4"/>
        <v>14</v>
      </c>
      <c r="N115">
        <v>38</v>
      </c>
      <c r="O115">
        <v>2006.88</v>
      </c>
    </row>
    <row r="116" spans="5:15" x14ac:dyDescent="0.55000000000000004">
      <c r="E116">
        <v>104</v>
      </c>
      <c r="F116" s="19" t="s">
        <v>28</v>
      </c>
      <c r="G116" s="18" t="s">
        <v>27</v>
      </c>
      <c r="H116" s="20">
        <v>0</v>
      </c>
      <c r="I116" s="23">
        <v>0</v>
      </c>
      <c r="J116">
        <v>4</v>
      </c>
      <c r="K116">
        <f t="shared" si="5"/>
        <v>0</v>
      </c>
      <c r="L116">
        <v>4</v>
      </c>
      <c r="M116">
        <f t="shared" si="4"/>
        <v>16</v>
      </c>
      <c r="N116">
        <v>24</v>
      </c>
      <c r="O116">
        <v>1603.57</v>
      </c>
    </row>
    <row r="117" spans="5:15" x14ac:dyDescent="0.55000000000000004">
      <c r="E117">
        <v>105</v>
      </c>
      <c r="F117" s="19" t="s">
        <v>30</v>
      </c>
      <c r="G117" s="18" t="s">
        <v>31</v>
      </c>
      <c r="H117" s="20">
        <v>1</v>
      </c>
      <c r="I117" s="23">
        <v>1</v>
      </c>
      <c r="J117">
        <v>5</v>
      </c>
      <c r="K117">
        <f t="shared" si="5"/>
        <v>5</v>
      </c>
      <c r="L117">
        <v>1</v>
      </c>
      <c r="M117">
        <f t="shared" si="4"/>
        <v>5</v>
      </c>
      <c r="N117">
        <v>78</v>
      </c>
      <c r="O117">
        <v>2036.36</v>
      </c>
    </row>
    <row r="118" spans="5:15" x14ac:dyDescent="0.55000000000000004">
      <c r="E118">
        <v>106</v>
      </c>
      <c r="F118" s="19" t="s">
        <v>28</v>
      </c>
      <c r="G118" s="18" t="s">
        <v>31</v>
      </c>
      <c r="H118" s="20">
        <v>0</v>
      </c>
      <c r="I118" s="23">
        <v>1</v>
      </c>
      <c r="J118">
        <v>5</v>
      </c>
      <c r="K118">
        <f t="shared" si="5"/>
        <v>0</v>
      </c>
      <c r="L118">
        <v>4</v>
      </c>
      <c r="M118">
        <f t="shared" si="4"/>
        <v>20</v>
      </c>
      <c r="N118">
        <v>62</v>
      </c>
      <c r="O118">
        <v>1774.77</v>
      </c>
    </row>
    <row r="119" spans="5:15" x14ac:dyDescent="0.55000000000000004">
      <c r="E119">
        <v>107</v>
      </c>
      <c r="F119" s="19" t="s">
        <v>28</v>
      </c>
      <c r="G119" s="18" t="s">
        <v>31</v>
      </c>
      <c r="H119" s="20">
        <v>0</v>
      </c>
      <c r="I119" s="23">
        <v>1</v>
      </c>
      <c r="J119">
        <v>7</v>
      </c>
      <c r="K119">
        <f t="shared" si="5"/>
        <v>0</v>
      </c>
      <c r="L119">
        <v>3</v>
      </c>
      <c r="M119">
        <f t="shared" si="4"/>
        <v>21</v>
      </c>
      <c r="N119">
        <v>32</v>
      </c>
      <c r="O119">
        <v>1941.38</v>
      </c>
    </row>
    <row r="120" spans="5:15" x14ac:dyDescent="0.55000000000000004">
      <c r="E120">
        <v>108</v>
      </c>
      <c r="F120" s="19" t="s">
        <v>30</v>
      </c>
      <c r="G120" s="18" t="s">
        <v>31</v>
      </c>
      <c r="H120" s="20">
        <v>1</v>
      </c>
      <c r="I120" s="23">
        <v>1</v>
      </c>
      <c r="J120">
        <v>6</v>
      </c>
      <c r="K120">
        <f t="shared" si="5"/>
        <v>6</v>
      </c>
      <c r="L120">
        <v>6</v>
      </c>
      <c r="M120">
        <f t="shared" si="4"/>
        <v>36</v>
      </c>
      <c r="N120">
        <v>32</v>
      </c>
      <c r="O120">
        <v>2326.17</v>
      </c>
    </row>
    <row r="121" spans="5:15" x14ac:dyDescent="0.55000000000000004">
      <c r="E121">
        <v>109</v>
      </c>
      <c r="F121" s="19" t="s">
        <v>28</v>
      </c>
      <c r="G121" s="18" t="s">
        <v>27</v>
      </c>
      <c r="H121" s="20">
        <v>0</v>
      </c>
      <c r="I121" s="23">
        <v>0</v>
      </c>
      <c r="J121">
        <v>4</v>
      </c>
      <c r="K121">
        <f t="shared" si="5"/>
        <v>0</v>
      </c>
      <c r="L121">
        <v>3</v>
      </c>
      <c r="M121">
        <f t="shared" si="4"/>
        <v>12</v>
      </c>
      <c r="N121">
        <v>53</v>
      </c>
      <c r="O121">
        <v>1980.93</v>
      </c>
    </row>
    <row r="122" spans="5:15" x14ac:dyDescent="0.55000000000000004">
      <c r="E122">
        <v>110</v>
      </c>
      <c r="F122" s="19" t="s">
        <v>28</v>
      </c>
      <c r="G122" s="18" t="s">
        <v>27</v>
      </c>
      <c r="H122" s="20">
        <v>0</v>
      </c>
      <c r="I122" s="23">
        <v>0</v>
      </c>
      <c r="J122">
        <v>3</v>
      </c>
      <c r="K122">
        <f t="shared" si="5"/>
        <v>0</v>
      </c>
      <c r="L122">
        <v>2</v>
      </c>
      <c r="M122">
        <f t="shared" si="4"/>
        <v>6</v>
      </c>
      <c r="N122">
        <v>97</v>
      </c>
      <c r="O122">
        <v>2108.86</v>
      </c>
    </row>
    <row r="123" spans="5:15" x14ac:dyDescent="0.55000000000000004">
      <c r="E123">
        <v>111</v>
      </c>
      <c r="F123" s="19" t="s">
        <v>28</v>
      </c>
      <c r="G123" s="18" t="s">
        <v>31</v>
      </c>
      <c r="H123" s="20">
        <v>0</v>
      </c>
      <c r="I123" s="23">
        <v>1</v>
      </c>
      <c r="J123">
        <v>2</v>
      </c>
      <c r="K123">
        <f t="shared" si="5"/>
        <v>0</v>
      </c>
      <c r="L123">
        <v>2</v>
      </c>
      <c r="M123">
        <f t="shared" si="4"/>
        <v>4</v>
      </c>
      <c r="N123">
        <v>54</v>
      </c>
      <c r="O123">
        <v>731.43</v>
      </c>
    </row>
    <row r="124" spans="5:15" x14ac:dyDescent="0.55000000000000004">
      <c r="E124">
        <v>112</v>
      </c>
      <c r="F124" s="19" t="s">
        <v>28</v>
      </c>
      <c r="G124" s="18" t="s">
        <v>31</v>
      </c>
      <c r="H124" s="20">
        <v>0</v>
      </c>
      <c r="I124" s="23">
        <v>1</v>
      </c>
      <c r="J124">
        <v>5</v>
      </c>
      <c r="K124">
        <f t="shared" si="5"/>
        <v>0</v>
      </c>
      <c r="L124">
        <v>5</v>
      </c>
      <c r="M124">
        <f t="shared" si="4"/>
        <v>25</v>
      </c>
      <c r="N124">
        <v>27</v>
      </c>
      <c r="O124">
        <v>1462.96</v>
      </c>
    </row>
    <row r="125" spans="5:15" x14ac:dyDescent="0.55000000000000004">
      <c r="E125">
        <v>113</v>
      </c>
      <c r="F125" s="19" t="s">
        <v>30</v>
      </c>
      <c r="G125" s="18" t="s">
        <v>31</v>
      </c>
      <c r="H125" s="20">
        <v>1</v>
      </c>
      <c r="I125" s="23">
        <v>1</v>
      </c>
      <c r="J125">
        <v>4</v>
      </c>
      <c r="K125">
        <f t="shared" si="5"/>
        <v>4</v>
      </c>
      <c r="L125">
        <v>4</v>
      </c>
      <c r="M125">
        <f t="shared" si="4"/>
        <v>16</v>
      </c>
      <c r="N125">
        <v>55</v>
      </c>
      <c r="O125">
        <v>1911.44</v>
      </c>
    </row>
    <row r="126" spans="5:15" x14ac:dyDescent="0.55000000000000004">
      <c r="E126">
        <v>114</v>
      </c>
      <c r="F126" s="19" t="s">
        <v>30</v>
      </c>
      <c r="G126" s="18" t="s">
        <v>31</v>
      </c>
      <c r="H126" s="20">
        <v>1</v>
      </c>
      <c r="I126" s="23">
        <v>1</v>
      </c>
      <c r="J126">
        <v>3</v>
      </c>
      <c r="K126">
        <f t="shared" si="5"/>
        <v>3</v>
      </c>
      <c r="L126">
        <v>2</v>
      </c>
      <c r="M126">
        <f t="shared" si="4"/>
        <v>6</v>
      </c>
      <c r="N126">
        <v>54</v>
      </c>
      <c r="O126">
        <v>1974.02</v>
      </c>
    </row>
    <row r="127" spans="5:15" x14ac:dyDescent="0.55000000000000004">
      <c r="E127">
        <v>115</v>
      </c>
      <c r="F127" s="19" t="s">
        <v>30</v>
      </c>
      <c r="G127" s="18" t="s">
        <v>27</v>
      </c>
      <c r="H127" s="20">
        <v>1</v>
      </c>
      <c r="I127" s="23">
        <v>0</v>
      </c>
      <c r="J127">
        <v>4</v>
      </c>
      <c r="K127">
        <f t="shared" si="5"/>
        <v>4</v>
      </c>
      <c r="L127">
        <v>2</v>
      </c>
      <c r="M127">
        <f t="shared" si="4"/>
        <v>8</v>
      </c>
      <c r="N127">
        <v>4</v>
      </c>
      <c r="O127">
        <v>1754.45</v>
      </c>
    </row>
    <row r="128" spans="5:15" x14ac:dyDescent="0.55000000000000004">
      <c r="E128">
        <v>116</v>
      </c>
      <c r="F128" s="19" t="s">
        <v>30</v>
      </c>
      <c r="G128" s="18" t="s">
        <v>27</v>
      </c>
      <c r="H128" s="20">
        <v>1</v>
      </c>
      <c r="I128" s="23">
        <v>0</v>
      </c>
      <c r="J128">
        <v>3</v>
      </c>
      <c r="K128">
        <f t="shared" si="5"/>
        <v>3</v>
      </c>
      <c r="L128">
        <v>5</v>
      </c>
      <c r="M128">
        <f t="shared" si="4"/>
        <v>15</v>
      </c>
      <c r="N128">
        <v>59</v>
      </c>
      <c r="O128">
        <v>2383.29</v>
      </c>
    </row>
    <row r="129" spans="5:15" x14ac:dyDescent="0.55000000000000004">
      <c r="E129">
        <v>117</v>
      </c>
      <c r="F129" s="19" t="s">
        <v>30</v>
      </c>
      <c r="G129" s="18" t="s">
        <v>31</v>
      </c>
      <c r="H129" s="20">
        <v>1</v>
      </c>
      <c r="I129" s="23">
        <v>1</v>
      </c>
      <c r="J129">
        <v>7</v>
      </c>
      <c r="K129">
        <f t="shared" si="5"/>
        <v>7</v>
      </c>
      <c r="L129">
        <v>2</v>
      </c>
      <c r="M129">
        <f t="shared" si="4"/>
        <v>14</v>
      </c>
      <c r="N129">
        <v>55</v>
      </c>
      <c r="O129">
        <v>2368.4</v>
      </c>
    </row>
    <row r="130" spans="5:15" x14ac:dyDescent="0.55000000000000004">
      <c r="E130">
        <v>118</v>
      </c>
      <c r="F130" s="19" t="s">
        <v>28</v>
      </c>
      <c r="G130" s="18" t="s">
        <v>31</v>
      </c>
      <c r="H130" s="20">
        <v>0</v>
      </c>
      <c r="I130" s="23">
        <v>1</v>
      </c>
      <c r="J130">
        <v>6</v>
      </c>
      <c r="K130">
        <f t="shared" si="5"/>
        <v>0</v>
      </c>
      <c r="L130">
        <v>5</v>
      </c>
      <c r="M130">
        <f t="shared" si="4"/>
        <v>30</v>
      </c>
      <c r="N130">
        <v>75</v>
      </c>
      <c r="O130">
        <v>1797.95</v>
      </c>
    </row>
    <row r="131" spans="5:15" x14ac:dyDescent="0.55000000000000004">
      <c r="E131">
        <v>119</v>
      </c>
      <c r="F131" s="19" t="s">
        <v>30</v>
      </c>
      <c r="G131" s="18" t="s">
        <v>31</v>
      </c>
      <c r="H131" s="20">
        <v>1</v>
      </c>
      <c r="I131" s="23">
        <v>1</v>
      </c>
      <c r="J131">
        <v>5</v>
      </c>
      <c r="K131">
        <f t="shared" si="5"/>
        <v>5</v>
      </c>
      <c r="L131">
        <v>5</v>
      </c>
      <c r="M131">
        <f t="shared" si="4"/>
        <v>25</v>
      </c>
      <c r="N131">
        <v>101</v>
      </c>
      <c r="O131">
        <v>2831.14</v>
      </c>
    </row>
    <row r="132" spans="5:15" x14ac:dyDescent="0.55000000000000004">
      <c r="E132">
        <v>120</v>
      </c>
      <c r="F132" s="19" t="s">
        <v>30</v>
      </c>
      <c r="G132" s="18" t="s">
        <v>31</v>
      </c>
      <c r="H132" s="20">
        <v>1</v>
      </c>
      <c r="I132" s="23">
        <v>1</v>
      </c>
      <c r="J132">
        <v>7</v>
      </c>
      <c r="K132">
        <f t="shared" si="5"/>
        <v>7</v>
      </c>
      <c r="L132">
        <v>2</v>
      </c>
      <c r="M132">
        <f t="shared" si="4"/>
        <v>14</v>
      </c>
      <c r="N132">
        <v>85</v>
      </c>
      <c r="O132">
        <v>2787.87</v>
      </c>
    </row>
    <row r="133" spans="5:15" x14ac:dyDescent="0.55000000000000004">
      <c r="E133">
        <v>121</v>
      </c>
      <c r="F133" s="19" t="s">
        <v>30</v>
      </c>
      <c r="G133" s="18" t="s">
        <v>31</v>
      </c>
      <c r="H133" s="20">
        <v>1</v>
      </c>
      <c r="I133" s="23">
        <v>1</v>
      </c>
      <c r="J133">
        <v>5</v>
      </c>
      <c r="K133">
        <f t="shared" si="5"/>
        <v>5</v>
      </c>
      <c r="L133">
        <v>2</v>
      </c>
      <c r="M133">
        <f t="shared" si="4"/>
        <v>10</v>
      </c>
      <c r="N133">
        <v>54</v>
      </c>
      <c r="O133">
        <v>2086.3000000000002</v>
      </c>
    </row>
    <row r="134" spans="5:15" x14ac:dyDescent="0.55000000000000004">
      <c r="E134">
        <v>122</v>
      </c>
      <c r="F134" s="19" t="s">
        <v>30</v>
      </c>
      <c r="G134" s="18" t="s">
        <v>27</v>
      </c>
      <c r="H134" s="20">
        <v>1</v>
      </c>
      <c r="I134" s="23">
        <v>0</v>
      </c>
      <c r="J134">
        <v>3</v>
      </c>
      <c r="K134">
        <f t="shared" si="5"/>
        <v>3</v>
      </c>
      <c r="L134">
        <v>7</v>
      </c>
      <c r="M134">
        <f t="shared" si="4"/>
        <v>21</v>
      </c>
      <c r="N134">
        <v>36</v>
      </c>
      <c r="O134">
        <v>2116.2199999999998</v>
      </c>
    </row>
    <row r="135" spans="5:15" x14ac:dyDescent="0.55000000000000004">
      <c r="E135">
        <v>123</v>
      </c>
      <c r="F135" s="19" t="s">
        <v>28</v>
      </c>
      <c r="G135" s="18" t="s">
        <v>27</v>
      </c>
      <c r="H135" s="20">
        <v>0</v>
      </c>
      <c r="I135" s="23">
        <v>0</v>
      </c>
      <c r="J135">
        <v>7</v>
      </c>
      <c r="K135">
        <f t="shared" si="5"/>
        <v>0</v>
      </c>
      <c r="L135">
        <v>3</v>
      </c>
      <c r="M135">
        <f t="shared" si="4"/>
        <v>21</v>
      </c>
      <c r="N135">
        <v>110</v>
      </c>
      <c r="O135">
        <v>3071.53</v>
      </c>
    </row>
    <row r="136" spans="5:15" x14ac:dyDescent="0.55000000000000004">
      <c r="E136">
        <v>124</v>
      </c>
      <c r="F136" s="19" t="s">
        <v>28</v>
      </c>
      <c r="G136" s="18" t="s">
        <v>27</v>
      </c>
      <c r="H136" s="20">
        <v>0</v>
      </c>
      <c r="I136" s="23">
        <v>0</v>
      </c>
      <c r="J136">
        <v>5</v>
      </c>
      <c r="K136">
        <f t="shared" si="5"/>
        <v>0</v>
      </c>
      <c r="L136">
        <v>3</v>
      </c>
      <c r="M136">
        <f t="shared" si="4"/>
        <v>15</v>
      </c>
      <c r="N136">
        <v>61</v>
      </c>
      <c r="O136">
        <v>1857.65</v>
      </c>
    </row>
    <row r="137" spans="5:15" x14ac:dyDescent="0.55000000000000004">
      <c r="E137">
        <v>125</v>
      </c>
      <c r="F137" s="19" t="s">
        <v>28</v>
      </c>
      <c r="G137" s="18" t="s">
        <v>27</v>
      </c>
      <c r="H137" s="20">
        <v>0</v>
      </c>
      <c r="I137" s="23">
        <v>0</v>
      </c>
      <c r="J137">
        <v>3</v>
      </c>
      <c r="K137">
        <f t="shared" si="5"/>
        <v>0</v>
      </c>
      <c r="L137">
        <v>5</v>
      </c>
      <c r="M137">
        <f t="shared" si="4"/>
        <v>15</v>
      </c>
      <c r="N137">
        <v>60</v>
      </c>
      <c r="O137">
        <v>2156.5</v>
      </c>
    </row>
    <row r="138" spans="5:15" x14ac:dyDescent="0.55000000000000004">
      <c r="E138">
        <v>126</v>
      </c>
      <c r="F138" s="19" t="s">
        <v>28</v>
      </c>
      <c r="G138" s="18" t="s">
        <v>27</v>
      </c>
      <c r="H138" s="20">
        <v>0</v>
      </c>
      <c r="I138" s="23">
        <v>0</v>
      </c>
      <c r="J138">
        <v>4</v>
      </c>
      <c r="K138">
        <f t="shared" si="5"/>
        <v>0</v>
      </c>
      <c r="L138">
        <v>7</v>
      </c>
      <c r="M138">
        <f t="shared" si="4"/>
        <v>28</v>
      </c>
      <c r="N138">
        <v>59</v>
      </c>
      <c r="O138">
        <v>2742.19</v>
      </c>
    </row>
    <row r="139" spans="5:15" x14ac:dyDescent="0.55000000000000004">
      <c r="E139">
        <v>127</v>
      </c>
      <c r="F139" s="19" t="s">
        <v>30</v>
      </c>
      <c r="G139" s="18" t="s">
        <v>27</v>
      </c>
      <c r="H139" s="20">
        <v>1</v>
      </c>
      <c r="I139" s="23">
        <v>0</v>
      </c>
      <c r="J139">
        <v>3</v>
      </c>
      <c r="K139">
        <f t="shared" si="5"/>
        <v>3</v>
      </c>
      <c r="L139">
        <v>7</v>
      </c>
      <c r="M139">
        <f t="shared" si="4"/>
        <v>21</v>
      </c>
      <c r="N139">
        <v>64</v>
      </c>
      <c r="O139">
        <v>2352.8000000000002</v>
      </c>
    </row>
    <row r="140" spans="5:15" x14ac:dyDescent="0.55000000000000004">
      <c r="E140">
        <v>128</v>
      </c>
      <c r="F140" s="19" t="s">
        <v>30</v>
      </c>
      <c r="G140" s="18" t="s">
        <v>27</v>
      </c>
      <c r="H140" s="20">
        <v>1</v>
      </c>
      <c r="I140" s="23">
        <v>0</v>
      </c>
      <c r="J140">
        <v>3</v>
      </c>
      <c r="K140">
        <f t="shared" si="5"/>
        <v>3</v>
      </c>
      <c r="L140">
        <v>5</v>
      </c>
      <c r="M140">
        <f t="shared" si="4"/>
        <v>15</v>
      </c>
      <c r="N140">
        <v>57</v>
      </c>
      <c r="O140">
        <v>2200.4</v>
      </c>
    </row>
    <row r="141" spans="5:15" x14ac:dyDescent="0.55000000000000004">
      <c r="E141">
        <v>129</v>
      </c>
      <c r="F141" s="19" t="s">
        <v>28</v>
      </c>
      <c r="G141" s="18" t="s">
        <v>27</v>
      </c>
      <c r="H141" s="20">
        <v>0</v>
      </c>
      <c r="I141" s="23">
        <v>0</v>
      </c>
      <c r="J141">
        <v>6</v>
      </c>
      <c r="K141">
        <f t="shared" ref="K141:K172" si="6">PRODUCT(H141,J141)</f>
        <v>0</v>
      </c>
      <c r="L141">
        <v>3</v>
      </c>
      <c r="M141">
        <f t="shared" si="4"/>
        <v>18</v>
      </c>
      <c r="N141">
        <v>47</v>
      </c>
      <c r="O141">
        <v>2136.9299999999998</v>
      </c>
    </row>
    <row r="142" spans="5:15" x14ac:dyDescent="0.55000000000000004">
      <c r="E142">
        <v>130</v>
      </c>
      <c r="F142" s="19" t="s">
        <v>28</v>
      </c>
      <c r="G142" s="18" t="s">
        <v>27</v>
      </c>
      <c r="H142" s="20">
        <v>0</v>
      </c>
      <c r="I142" s="23">
        <v>0</v>
      </c>
      <c r="J142">
        <v>7</v>
      </c>
      <c r="K142">
        <f t="shared" si="6"/>
        <v>0</v>
      </c>
      <c r="L142">
        <v>2</v>
      </c>
      <c r="M142">
        <f t="shared" ref="M142:M172" si="7">PRODUCT(L142,J142)</f>
        <v>14</v>
      </c>
      <c r="N142">
        <v>48</v>
      </c>
      <c r="O142">
        <v>2066.34</v>
      </c>
    </row>
    <row r="143" spans="5:15" x14ac:dyDescent="0.55000000000000004">
      <c r="E143">
        <v>131</v>
      </c>
      <c r="F143" s="19" t="s">
        <v>28</v>
      </c>
      <c r="G143" s="18" t="s">
        <v>27</v>
      </c>
      <c r="H143" s="20">
        <v>0</v>
      </c>
      <c r="I143" s="23">
        <v>0</v>
      </c>
      <c r="J143">
        <v>3</v>
      </c>
      <c r="K143">
        <f t="shared" si="6"/>
        <v>0</v>
      </c>
      <c r="L143">
        <v>5</v>
      </c>
      <c r="M143">
        <f t="shared" si="7"/>
        <v>15</v>
      </c>
      <c r="N143">
        <v>59</v>
      </c>
      <c r="O143">
        <v>1741.37</v>
      </c>
    </row>
    <row r="144" spans="5:15" x14ac:dyDescent="0.55000000000000004">
      <c r="E144">
        <v>132</v>
      </c>
      <c r="F144" s="19" t="s">
        <v>28</v>
      </c>
      <c r="G144" s="18" t="s">
        <v>27</v>
      </c>
      <c r="H144" s="20">
        <v>0</v>
      </c>
      <c r="I144" s="23">
        <v>0</v>
      </c>
      <c r="J144">
        <v>5</v>
      </c>
      <c r="K144">
        <f t="shared" si="6"/>
        <v>0</v>
      </c>
      <c r="L144">
        <v>4</v>
      </c>
      <c r="M144">
        <f t="shared" si="7"/>
        <v>20</v>
      </c>
      <c r="N144">
        <v>48</v>
      </c>
      <c r="O144">
        <v>2105.0300000000002</v>
      </c>
    </row>
    <row r="145" spans="5:15" x14ac:dyDescent="0.55000000000000004">
      <c r="E145">
        <v>133</v>
      </c>
      <c r="F145" s="19" t="s">
        <v>28</v>
      </c>
      <c r="G145" s="18" t="s">
        <v>31</v>
      </c>
      <c r="H145" s="20">
        <v>0</v>
      </c>
      <c r="I145" s="23">
        <v>1</v>
      </c>
      <c r="J145">
        <v>4</v>
      </c>
      <c r="K145">
        <f t="shared" si="6"/>
        <v>0</v>
      </c>
      <c r="L145">
        <v>3</v>
      </c>
      <c r="M145">
        <f t="shared" si="7"/>
        <v>12</v>
      </c>
      <c r="N145">
        <v>44</v>
      </c>
      <c r="O145">
        <v>1129.1600000000001</v>
      </c>
    </row>
    <row r="146" spans="5:15" x14ac:dyDescent="0.55000000000000004">
      <c r="E146">
        <v>134</v>
      </c>
      <c r="F146" s="19" t="s">
        <v>28</v>
      </c>
      <c r="G146" s="18" t="s">
        <v>27</v>
      </c>
      <c r="H146" s="20">
        <v>0</v>
      </c>
      <c r="I146" s="23">
        <v>0</v>
      </c>
      <c r="J146">
        <v>4</v>
      </c>
      <c r="K146">
        <f t="shared" si="6"/>
        <v>0</v>
      </c>
      <c r="L146">
        <v>6</v>
      </c>
      <c r="M146">
        <f t="shared" si="7"/>
        <v>24</v>
      </c>
      <c r="N146">
        <v>62</v>
      </c>
      <c r="O146">
        <v>2357.98</v>
      </c>
    </row>
    <row r="147" spans="5:15" x14ac:dyDescent="0.55000000000000004">
      <c r="E147">
        <v>135</v>
      </c>
      <c r="F147" s="19" t="s">
        <v>30</v>
      </c>
      <c r="G147" s="18" t="s">
        <v>27</v>
      </c>
      <c r="H147" s="20">
        <v>1</v>
      </c>
      <c r="I147" s="23">
        <v>0</v>
      </c>
      <c r="J147">
        <v>4</v>
      </c>
      <c r="K147">
        <f t="shared" si="6"/>
        <v>4</v>
      </c>
      <c r="L147">
        <v>2</v>
      </c>
      <c r="M147">
        <f t="shared" si="7"/>
        <v>8</v>
      </c>
      <c r="N147">
        <v>54</v>
      </c>
      <c r="O147">
        <v>2066.31</v>
      </c>
    </row>
    <row r="148" spans="5:15" x14ac:dyDescent="0.55000000000000004">
      <c r="E148">
        <v>136</v>
      </c>
      <c r="F148" s="19" t="s">
        <v>28</v>
      </c>
      <c r="G148" s="18" t="s">
        <v>27</v>
      </c>
      <c r="H148" s="20">
        <v>0</v>
      </c>
      <c r="I148" s="23">
        <v>0</v>
      </c>
      <c r="J148">
        <v>3</v>
      </c>
      <c r="K148">
        <f t="shared" si="6"/>
        <v>0</v>
      </c>
      <c r="L148">
        <v>4</v>
      </c>
      <c r="M148">
        <f t="shared" si="7"/>
        <v>12</v>
      </c>
      <c r="N148">
        <v>93</v>
      </c>
      <c r="O148">
        <v>2551.4899999999998</v>
      </c>
    </row>
    <row r="149" spans="5:15" x14ac:dyDescent="0.55000000000000004">
      <c r="E149">
        <v>137</v>
      </c>
      <c r="F149" s="19" t="s">
        <v>28</v>
      </c>
      <c r="G149" s="18" t="s">
        <v>31</v>
      </c>
      <c r="H149" s="20">
        <v>0</v>
      </c>
      <c r="I149" s="23">
        <v>1</v>
      </c>
      <c r="J149">
        <v>5</v>
      </c>
      <c r="K149">
        <f t="shared" si="6"/>
        <v>0</v>
      </c>
      <c r="L149">
        <v>1</v>
      </c>
      <c r="M149">
        <f t="shared" si="7"/>
        <v>5</v>
      </c>
      <c r="N149">
        <v>4</v>
      </c>
      <c r="O149">
        <v>772.18</v>
      </c>
    </row>
    <row r="150" spans="5:15" x14ac:dyDescent="0.55000000000000004">
      <c r="E150">
        <v>138</v>
      </c>
      <c r="F150" s="19" t="s">
        <v>30</v>
      </c>
      <c r="G150" s="18" t="s">
        <v>27</v>
      </c>
      <c r="H150" s="20">
        <v>1</v>
      </c>
      <c r="I150" s="23">
        <v>0</v>
      </c>
      <c r="J150">
        <v>3</v>
      </c>
      <c r="K150">
        <f t="shared" si="6"/>
        <v>3</v>
      </c>
      <c r="L150">
        <v>3</v>
      </c>
      <c r="M150">
        <f t="shared" si="7"/>
        <v>9</v>
      </c>
      <c r="N150">
        <v>84</v>
      </c>
      <c r="O150">
        <v>2319.81</v>
      </c>
    </row>
    <row r="151" spans="5:15" x14ac:dyDescent="0.55000000000000004">
      <c r="E151">
        <v>139</v>
      </c>
      <c r="F151" s="19" t="s">
        <v>28</v>
      </c>
      <c r="G151" s="18" t="s">
        <v>31</v>
      </c>
      <c r="H151" s="20">
        <v>0</v>
      </c>
      <c r="I151" s="23">
        <v>1</v>
      </c>
      <c r="J151">
        <v>5</v>
      </c>
      <c r="K151">
        <f t="shared" si="6"/>
        <v>0</v>
      </c>
      <c r="L151">
        <v>1</v>
      </c>
      <c r="M151">
        <f t="shared" si="7"/>
        <v>5</v>
      </c>
      <c r="N151">
        <v>87</v>
      </c>
      <c r="O151">
        <v>1822.57</v>
      </c>
    </row>
    <row r="152" spans="5:15" x14ac:dyDescent="0.55000000000000004">
      <c r="E152">
        <v>140</v>
      </c>
      <c r="F152" s="19" t="s">
        <v>30</v>
      </c>
      <c r="G152" s="18" t="s">
        <v>27</v>
      </c>
      <c r="H152" s="20">
        <v>1</v>
      </c>
      <c r="I152" s="23">
        <v>0</v>
      </c>
      <c r="J152">
        <v>5</v>
      </c>
      <c r="K152">
        <f t="shared" si="6"/>
        <v>5</v>
      </c>
      <c r="L152">
        <v>2</v>
      </c>
      <c r="M152">
        <f t="shared" si="7"/>
        <v>10</v>
      </c>
      <c r="N152">
        <v>14</v>
      </c>
      <c r="O152">
        <v>1862.14</v>
      </c>
    </row>
    <row r="153" spans="5:15" x14ac:dyDescent="0.55000000000000004">
      <c r="E153">
        <v>141</v>
      </c>
      <c r="F153" s="19" t="s">
        <v>30</v>
      </c>
      <c r="G153" s="18" t="s">
        <v>27</v>
      </c>
      <c r="H153" s="20">
        <v>1</v>
      </c>
      <c r="I153" s="23">
        <v>0</v>
      </c>
      <c r="J153">
        <v>4</v>
      </c>
      <c r="K153">
        <f t="shared" si="6"/>
        <v>4</v>
      </c>
      <c r="L153">
        <v>2</v>
      </c>
      <c r="M153">
        <f t="shared" si="7"/>
        <v>8</v>
      </c>
      <c r="N153">
        <v>52</v>
      </c>
      <c r="O153">
        <v>2266.2199999999998</v>
      </c>
    </row>
    <row r="154" spans="5:15" x14ac:dyDescent="0.55000000000000004">
      <c r="E154">
        <v>142</v>
      </c>
      <c r="F154" s="19" t="s">
        <v>28</v>
      </c>
      <c r="G154" s="18" t="s">
        <v>27</v>
      </c>
      <c r="H154" s="20">
        <v>0</v>
      </c>
      <c r="I154" s="23">
        <v>0</v>
      </c>
      <c r="J154">
        <v>3</v>
      </c>
      <c r="K154">
        <f t="shared" si="6"/>
        <v>0</v>
      </c>
      <c r="L154">
        <v>4</v>
      </c>
      <c r="M154">
        <f t="shared" si="7"/>
        <v>12</v>
      </c>
      <c r="N154">
        <v>52</v>
      </c>
      <c r="O154">
        <v>2136.36</v>
      </c>
    </row>
    <row r="155" spans="5:15" x14ac:dyDescent="0.55000000000000004">
      <c r="E155">
        <v>143</v>
      </c>
      <c r="F155" s="19" t="s">
        <v>28</v>
      </c>
      <c r="G155" s="18" t="s">
        <v>27</v>
      </c>
      <c r="H155" s="20">
        <v>0</v>
      </c>
      <c r="I155" s="23">
        <v>0</v>
      </c>
      <c r="J155">
        <v>4</v>
      </c>
      <c r="K155">
        <f t="shared" si="6"/>
        <v>0</v>
      </c>
      <c r="L155">
        <v>5</v>
      </c>
      <c r="M155">
        <f t="shared" si="7"/>
        <v>20</v>
      </c>
      <c r="N155">
        <v>29</v>
      </c>
      <c r="O155">
        <v>1580.58</v>
      </c>
    </row>
    <row r="156" spans="5:15" x14ac:dyDescent="0.55000000000000004">
      <c r="E156">
        <v>144</v>
      </c>
      <c r="F156" s="19" t="s">
        <v>28</v>
      </c>
      <c r="G156" s="18" t="s">
        <v>31</v>
      </c>
      <c r="H156" s="20">
        <v>0</v>
      </c>
      <c r="I156" s="23">
        <v>1</v>
      </c>
      <c r="J156">
        <v>6</v>
      </c>
      <c r="K156">
        <f t="shared" si="6"/>
        <v>0</v>
      </c>
      <c r="L156">
        <v>4</v>
      </c>
      <c r="M156">
        <f t="shared" si="7"/>
        <v>24</v>
      </c>
      <c r="N156">
        <v>43</v>
      </c>
      <c r="O156">
        <v>1682.08</v>
      </c>
    </row>
    <row r="157" spans="5:15" x14ac:dyDescent="0.55000000000000004">
      <c r="E157">
        <v>145</v>
      </c>
      <c r="F157" s="19" t="s">
        <v>28</v>
      </c>
      <c r="G157" s="18" t="s">
        <v>31</v>
      </c>
      <c r="H157" s="20">
        <v>0</v>
      </c>
      <c r="I157" s="23">
        <v>1</v>
      </c>
      <c r="J157">
        <v>5</v>
      </c>
      <c r="K157">
        <f t="shared" si="6"/>
        <v>0</v>
      </c>
      <c r="L157">
        <v>7</v>
      </c>
      <c r="M157">
        <f t="shared" si="7"/>
        <v>35</v>
      </c>
      <c r="N157">
        <v>36</v>
      </c>
      <c r="O157">
        <v>1768.38</v>
      </c>
    </row>
    <row r="158" spans="5:15" x14ac:dyDescent="0.55000000000000004">
      <c r="E158">
        <v>146</v>
      </c>
      <c r="F158" s="19" t="s">
        <v>28</v>
      </c>
      <c r="G158" s="18" t="s">
        <v>31</v>
      </c>
      <c r="H158" s="20">
        <v>0</v>
      </c>
      <c r="I158" s="23">
        <v>1</v>
      </c>
      <c r="J158">
        <v>3</v>
      </c>
      <c r="K158">
        <f t="shared" si="6"/>
        <v>0</v>
      </c>
      <c r="L158">
        <v>3</v>
      </c>
      <c r="M158">
        <f t="shared" si="7"/>
        <v>9</v>
      </c>
      <c r="N158">
        <v>99</v>
      </c>
      <c r="O158">
        <v>1854.55</v>
      </c>
    </row>
    <row r="159" spans="5:15" x14ac:dyDescent="0.55000000000000004">
      <c r="E159">
        <v>147</v>
      </c>
      <c r="F159" s="19" t="s">
        <v>30</v>
      </c>
      <c r="G159" s="18" t="s">
        <v>27</v>
      </c>
      <c r="H159" s="20">
        <v>1</v>
      </c>
      <c r="I159" s="23">
        <v>0</v>
      </c>
      <c r="J159">
        <v>5</v>
      </c>
      <c r="K159">
        <f t="shared" si="6"/>
        <v>5</v>
      </c>
      <c r="L159">
        <v>3</v>
      </c>
      <c r="M159">
        <f t="shared" si="7"/>
        <v>15</v>
      </c>
      <c r="N159">
        <v>81</v>
      </c>
      <c r="O159">
        <v>2548.98</v>
      </c>
    </row>
    <row r="160" spans="5:15" x14ac:dyDescent="0.55000000000000004">
      <c r="E160">
        <v>148</v>
      </c>
      <c r="F160" s="19" t="s">
        <v>28</v>
      </c>
      <c r="G160" s="18" t="s">
        <v>27</v>
      </c>
      <c r="H160" s="20">
        <v>0</v>
      </c>
      <c r="I160" s="23">
        <v>0</v>
      </c>
      <c r="J160">
        <v>6</v>
      </c>
      <c r="K160">
        <f t="shared" si="6"/>
        <v>0</v>
      </c>
      <c r="L160">
        <v>6</v>
      </c>
      <c r="M160">
        <f t="shared" si="7"/>
        <v>36</v>
      </c>
      <c r="N160">
        <v>88</v>
      </c>
      <c r="O160">
        <v>2491.11</v>
      </c>
    </row>
    <row r="161" spans="5:15" x14ac:dyDescent="0.55000000000000004">
      <c r="E161">
        <v>149</v>
      </c>
      <c r="F161" s="19" t="s">
        <v>28</v>
      </c>
      <c r="G161" s="18" t="s">
        <v>31</v>
      </c>
      <c r="H161" s="20">
        <v>0</v>
      </c>
      <c r="I161" s="23">
        <v>1</v>
      </c>
      <c r="J161">
        <v>2</v>
      </c>
      <c r="K161">
        <f t="shared" si="6"/>
        <v>0</v>
      </c>
      <c r="L161">
        <v>2</v>
      </c>
      <c r="M161">
        <f t="shared" si="7"/>
        <v>4</v>
      </c>
      <c r="N161">
        <v>76</v>
      </c>
      <c r="O161">
        <v>1393.17</v>
      </c>
    </row>
    <row r="162" spans="5:15" x14ac:dyDescent="0.55000000000000004">
      <c r="E162">
        <v>150</v>
      </c>
      <c r="F162" s="19" t="s">
        <v>28</v>
      </c>
      <c r="G162" s="18" t="s">
        <v>27</v>
      </c>
      <c r="H162" s="20">
        <v>0</v>
      </c>
      <c r="I162" s="23">
        <v>0</v>
      </c>
      <c r="J162">
        <v>5</v>
      </c>
      <c r="K162">
        <f t="shared" si="6"/>
        <v>0</v>
      </c>
      <c r="L162">
        <v>7</v>
      </c>
      <c r="M162">
        <f t="shared" si="7"/>
        <v>35</v>
      </c>
      <c r="N162">
        <v>35</v>
      </c>
      <c r="O162">
        <v>2286.4299999999998</v>
      </c>
    </row>
    <row r="163" spans="5:15" x14ac:dyDescent="0.55000000000000004">
      <c r="E163">
        <v>151</v>
      </c>
      <c r="F163" s="19" t="s">
        <v>30</v>
      </c>
      <c r="G163" s="18" t="s">
        <v>27</v>
      </c>
      <c r="H163" s="20">
        <v>1</v>
      </c>
      <c r="I163" s="23">
        <v>0</v>
      </c>
      <c r="J163">
        <v>4</v>
      </c>
      <c r="K163">
        <f t="shared" si="6"/>
        <v>4</v>
      </c>
      <c r="L163">
        <v>1</v>
      </c>
      <c r="M163">
        <f t="shared" si="7"/>
        <v>4</v>
      </c>
      <c r="N163">
        <v>48</v>
      </c>
      <c r="O163">
        <v>2149.59</v>
      </c>
    </row>
    <row r="164" spans="5:15" x14ac:dyDescent="0.55000000000000004">
      <c r="E164">
        <v>152</v>
      </c>
      <c r="F164" s="19" t="s">
        <v>28</v>
      </c>
      <c r="G164" s="18" t="s">
        <v>27</v>
      </c>
      <c r="H164" s="20">
        <v>0</v>
      </c>
      <c r="I164" s="23">
        <v>0</v>
      </c>
      <c r="J164">
        <v>5</v>
      </c>
      <c r="K164">
        <f t="shared" si="6"/>
        <v>0</v>
      </c>
      <c r="L164">
        <v>7</v>
      </c>
      <c r="M164">
        <f t="shared" si="7"/>
        <v>35</v>
      </c>
      <c r="N164">
        <v>71</v>
      </c>
      <c r="O164">
        <v>2619.83</v>
      </c>
    </row>
    <row r="165" spans="5:15" x14ac:dyDescent="0.55000000000000004">
      <c r="E165">
        <v>153</v>
      </c>
      <c r="F165" s="19" t="s">
        <v>28</v>
      </c>
      <c r="G165" s="18" t="s">
        <v>27</v>
      </c>
      <c r="H165" s="20">
        <v>0</v>
      </c>
      <c r="I165" s="23">
        <v>0</v>
      </c>
      <c r="J165">
        <v>4</v>
      </c>
      <c r="K165">
        <f t="shared" si="6"/>
        <v>0</v>
      </c>
      <c r="L165">
        <v>1</v>
      </c>
      <c r="M165">
        <f t="shared" si="7"/>
        <v>4</v>
      </c>
      <c r="N165">
        <v>33</v>
      </c>
      <c r="O165">
        <v>1452.8</v>
      </c>
    </row>
    <row r="166" spans="5:15" x14ac:dyDescent="0.55000000000000004">
      <c r="E166">
        <v>154</v>
      </c>
      <c r="F166" s="19" t="s">
        <v>28</v>
      </c>
      <c r="G166" s="18" t="s">
        <v>31</v>
      </c>
      <c r="H166" s="20">
        <v>0</v>
      </c>
      <c r="I166" s="23">
        <v>1</v>
      </c>
      <c r="J166">
        <v>2</v>
      </c>
      <c r="K166">
        <f t="shared" si="6"/>
        <v>0</v>
      </c>
      <c r="L166">
        <v>6</v>
      </c>
      <c r="M166">
        <f t="shared" si="7"/>
        <v>12</v>
      </c>
      <c r="N166">
        <v>76</v>
      </c>
      <c r="O166">
        <v>1678.13</v>
      </c>
    </row>
    <row r="167" spans="5:15" x14ac:dyDescent="0.55000000000000004">
      <c r="E167">
        <v>155</v>
      </c>
      <c r="F167" s="19" t="s">
        <v>30</v>
      </c>
      <c r="G167" s="18" t="s">
        <v>31</v>
      </c>
      <c r="H167" s="20">
        <v>1</v>
      </c>
      <c r="I167" s="23">
        <v>1</v>
      </c>
      <c r="J167">
        <v>2</v>
      </c>
      <c r="K167">
        <f t="shared" si="6"/>
        <v>2</v>
      </c>
      <c r="L167">
        <v>4</v>
      </c>
      <c r="M167">
        <f t="shared" si="7"/>
        <v>8</v>
      </c>
      <c r="N167">
        <v>55</v>
      </c>
      <c r="O167">
        <v>1525.68</v>
      </c>
    </row>
    <row r="168" spans="5:15" x14ac:dyDescent="0.55000000000000004">
      <c r="E168">
        <v>156</v>
      </c>
      <c r="F168" s="19" t="s">
        <v>28</v>
      </c>
      <c r="G168" s="18" t="s">
        <v>31</v>
      </c>
      <c r="H168" s="20">
        <v>0</v>
      </c>
      <c r="I168" s="23">
        <v>1</v>
      </c>
      <c r="J168">
        <v>5</v>
      </c>
      <c r="K168">
        <f t="shared" si="6"/>
        <v>0</v>
      </c>
      <c r="L168">
        <v>7</v>
      </c>
      <c r="M168">
        <f t="shared" si="7"/>
        <v>35</v>
      </c>
      <c r="N168">
        <v>52</v>
      </c>
      <c r="O168">
        <v>1727.27</v>
      </c>
    </row>
    <row r="169" spans="5:15" x14ac:dyDescent="0.55000000000000004">
      <c r="E169">
        <v>157</v>
      </c>
      <c r="F169" s="19" t="s">
        <v>30</v>
      </c>
      <c r="G169" s="18" t="s">
        <v>27</v>
      </c>
      <c r="H169" s="20">
        <v>1</v>
      </c>
      <c r="I169" s="23">
        <v>0</v>
      </c>
      <c r="J169">
        <v>5</v>
      </c>
      <c r="K169">
        <f t="shared" si="6"/>
        <v>5</v>
      </c>
      <c r="L169">
        <v>2</v>
      </c>
      <c r="M169">
        <f t="shared" si="7"/>
        <v>10</v>
      </c>
      <c r="N169">
        <v>76</v>
      </c>
      <c r="O169">
        <v>3008.5</v>
      </c>
    </row>
    <row r="170" spans="5:15" x14ac:dyDescent="0.55000000000000004">
      <c r="E170">
        <v>158</v>
      </c>
      <c r="F170" s="19" t="s">
        <v>30</v>
      </c>
      <c r="G170" s="18" t="s">
        <v>27</v>
      </c>
      <c r="H170" s="20">
        <v>1</v>
      </c>
      <c r="I170" s="23">
        <v>0</v>
      </c>
      <c r="J170">
        <v>3</v>
      </c>
      <c r="K170">
        <f t="shared" si="6"/>
        <v>3</v>
      </c>
      <c r="L170">
        <v>4</v>
      </c>
      <c r="M170">
        <f t="shared" si="7"/>
        <v>12</v>
      </c>
      <c r="N170">
        <v>70</v>
      </c>
      <c r="O170">
        <v>2430.0300000000002</v>
      </c>
    </row>
    <row r="171" spans="5:15" x14ac:dyDescent="0.55000000000000004">
      <c r="E171">
        <v>159</v>
      </c>
      <c r="F171" s="19" t="s">
        <v>28</v>
      </c>
      <c r="G171" s="18" t="s">
        <v>27</v>
      </c>
      <c r="H171" s="20">
        <v>0</v>
      </c>
      <c r="I171" s="23">
        <v>0</v>
      </c>
      <c r="J171">
        <v>5</v>
      </c>
      <c r="K171">
        <f t="shared" si="6"/>
        <v>0</v>
      </c>
      <c r="L171">
        <v>7</v>
      </c>
      <c r="M171">
        <f t="shared" si="7"/>
        <v>35</v>
      </c>
      <c r="N171">
        <v>52</v>
      </c>
      <c r="O171">
        <v>2156.65</v>
      </c>
    </row>
    <row r="172" spans="5:15" x14ac:dyDescent="0.55000000000000004">
      <c r="E172">
        <v>160</v>
      </c>
      <c r="F172" s="19" t="s">
        <v>30</v>
      </c>
      <c r="G172" s="18" t="s">
        <v>27</v>
      </c>
      <c r="H172" s="20">
        <v>1</v>
      </c>
      <c r="I172" s="23">
        <v>0</v>
      </c>
      <c r="J172">
        <v>2</v>
      </c>
      <c r="K172">
        <f t="shared" si="6"/>
        <v>2</v>
      </c>
      <c r="L172">
        <v>4</v>
      </c>
      <c r="M172">
        <f t="shared" si="7"/>
        <v>8</v>
      </c>
      <c r="N172">
        <v>86</v>
      </c>
      <c r="O172">
        <v>2393.75</v>
      </c>
    </row>
  </sheetData>
  <mergeCells count="8">
    <mergeCell ref="A17:B17"/>
    <mergeCell ref="A18:B18"/>
    <mergeCell ref="A2:C11"/>
    <mergeCell ref="E11:O11"/>
    <mergeCell ref="A12:B13"/>
    <mergeCell ref="A14:B14"/>
    <mergeCell ref="A15:B16"/>
    <mergeCell ref="C15:C16"/>
  </mergeCells>
  <pageMargins left="0.7" right="0.7" top="0.75" bottom="0.75" header="0.3" footer="0.3"/>
  <pageSetup orientation="portrait" r:id="rId2"/>
  <drawing r:id="rId3"/>
  <tableParts count="4">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23BA1-149F-42EA-BF13-372157AE1743}">
  <dimension ref="A2:I12"/>
  <sheetViews>
    <sheetView workbookViewId="0">
      <selection activeCell="G15" sqref="G15"/>
    </sheetView>
  </sheetViews>
  <sheetFormatPr defaultRowHeight="14.4" x14ac:dyDescent="0.55000000000000004"/>
  <cols>
    <col min="1" max="1" width="11.7890625" customWidth="1"/>
    <col min="2" max="2" width="8.47265625" bestFit="1" customWidth="1"/>
    <col min="4" max="5" width="9.7890625" customWidth="1"/>
    <col min="7" max="7" width="12.26171875" bestFit="1" customWidth="1"/>
    <col min="11" max="11" width="16.20703125" bestFit="1" customWidth="1"/>
  </cols>
  <sheetData>
    <row r="2" spans="1:9" ht="25.5" x14ac:dyDescent="0.55000000000000004">
      <c r="A2" s="11" t="s">
        <v>43</v>
      </c>
      <c r="B2" s="11" t="s">
        <v>42</v>
      </c>
      <c r="D2" s="12"/>
    </row>
    <row r="3" spans="1:9" x14ac:dyDescent="0.55000000000000004">
      <c r="A3" s="17">
        <v>2010</v>
      </c>
      <c r="B3" s="13">
        <v>50</v>
      </c>
      <c r="D3" t="s">
        <v>126</v>
      </c>
      <c r="E3" t="s">
        <v>127</v>
      </c>
      <c r="G3" t="s">
        <v>134</v>
      </c>
      <c r="H3" t="s">
        <v>135</v>
      </c>
      <c r="I3" t="s">
        <v>136</v>
      </c>
    </row>
    <row r="4" spans="1:9" x14ac:dyDescent="0.55000000000000004">
      <c r="A4" s="17">
        <v>2015</v>
      </c>
      <c r="B4" s="13">
        <v>87</v>
      </c>
      <c r="D4" t="s">
        <v>131</v>
      </c>
      <c r="E4">
        <f>SLOPE(B3:B6,A3:A6)</f>
        <v>28.74</v>
      </c>
      <c r="G4">
        <f>E4*A3+E5</f>
        <v>-9.3000000000029104</v>
      </c>
      <c r="H4" s="38">
        <f>G4-B3</f>
        <v>-59.30000000000291</v>
      </c>
      <c r="I4" s="39">
        <f>H4^2</f>
        <v>3516.4900000003454</v>
      </c>
    </row>
    <row r="5" spans="1:9" x14ac:dyDescent="0.55000000000000004">
      <c r="A5" s="17">
        <v>2020</v>
      </c>
      <c r="B5" s="13">
        <v>195</v>
      </c>
      <c r="D5" t="s">
        <v>132</v>
      </c>
      <c r="E5">
        <f>INTERCEPT(B3:B6,A3:A6)</f>
        <v>-57776.7</v>
      </c>
      <c r="G5">
        <f>E4*A4+E5</f>
        <v>134.40000000000146</v>
      </c>
      <c r="H5" s="38">
        <f>G5-B4</f>
        <v>47.400000000001455</v>
      </c>
      <c r="I5" s="39">
        <f>H5^2</f>
        <v>2246.760000000138</v>
      </c>
    </row>
    <row r="6" spans="1:9" x14ac:dyDescent="0.55000000000000004">
      <c r="A6" s="17">
        <v>2025</v>
      </c>
      <c r="B6" s="14">
        <v>493</v>
      </c>
      <c r="D6" t="s">
        <v>133</v>
      </c>
      <c r="E6">
        <f>RSQ(B3:B6,A3:A6)</f>
        <v>0.85338642454648972</v>
      </c>
      <c r="G6">
        <f>E4*A5+E5</f>
        <v>278.09999999999854</v>
      </c>
      <c r="H6" s="38">
        <f>G6-B5</f>
        <v>83.099999999998545</v>
      </c>
      <c r="I6" s="39">
        <f>H6^2</f>
        <v>6905.6099999997577</v>
      </c>
    </row>
    <row r="7" spans="1:9" x14ac:dyDescent="0.55000000000000004">
      <c r="G7">
        <f>E4*A6+E5</f>
        <v>421.80000000000291</v>
      </c>
      <c r="H7" s="38">
        <f>G7-B6</f>
        <v>-71.19999999999709</v>
      </c>
      <c r="I7" s="39">
        <f>H7^2</f>
        <v>5069.4399999995858</v>
      </c>
    </row>
    <row r="8" spans="1:9" x14ac:dyDescent="0.55000000000000004">
      <c r="A8" s="15"/>
      <c r="B8" s="16"/>
      <c r="I8" s="39">
        <f>SUM(I4:I7)</f>
        <v>17738.299999999828</v>
      </c>
    </row>
    <row r="10" spans="1:9" x14ac:dyDescent="0.55000000000000004">
      <c r="A10" s="15"/>
      <c r="B10" s="16"/>
    </row>
    <row r="11" spans="1:9" x14ac:dyDescent="0.55000000000000004">
      <c r="A11" s="15"/>
      <c r="B11" s="14"/>
      <c r="C11" s="14"/>
    </row>
    <row r="12" spans="1:9" x14ac:dyDescent="0.55000000000000004">
      <c r="A12" s="15"/>
      <c r="B12" s="16"/>
    </row>
  </sheetData>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E60D5-66F7-4D28-9DEA-8413350725BD}">
  <dimension ref="A1:M78"/>
  <sheetViews>
    <sheetView zoomScale="52" workbookViewId="0">
      <selection activeCell="I72" sqref="I72"/>
    </sheetView>
  </sheetViews>
  <sheetFormatPr defaultColWidth="9.15625" defaultRowHeight="14.4" x14ac:dyDescent="0.55000000000000004"/>
  <cols>
    <col min="1" max="1" width="12.7890625" style="6" bestFit="1" customWidth="1"/>
    <col min="2" max="2" width="13.7890625" style="6" bestFit="1" customWidth="1"/>
    <col min="3" max="3" width="9.83984375" style="6" customWidth="1"/>
    <col min="4" max="4" width="19.26171875" style="6" bestFit="1" customWidth="1"/>
    <col min="5" max="5" width="14.5234375" style="6" customWidth="1"/>
    <col min="6" max="6" width="9.83984375" style="6" customWidth="1"/>
    <col min="7" max="7" width="14.5234375" style="6" bestFit="1" customWidth="1"/>
    <col min="8" max="8" width="13.47265625" style="6" bestFit="1" customWidth="1"/>
    <col min="9" max="16384" width="9.15625" style="6"/>
  </cols>
  <sheetData>
    <row r="1" spans="1:11" ht="14.5" customHeight="1" x14ac:dyDescent="0.55000000000000004">
      <c r="A1" s="63" t="s">
        <v>41</v>
      </c>
      <c r="B1" s="63"/>
      <c r="C1" s="63"/>
      <c r="D1" s="63"/>
      <c r="E1" s="63"/>
      <c r="F1" s="63"/>
      <c r="G1" s="63"/>
      <c r="H1" s="63"/>
      <c r="I1" s="63"/>
      <c r="J1" s="63"/>
      <c r="K1" s="63"/>
    </row>
    <row r="2" spans="1:11" x14ac:dyDescent="0.55000000000000004">
      <c r="A2" s="63"/>
      <c r="B2" s="63"/>
      <c r="C2" s="63"/>
      <c r="D2" s="63"/>
      <c r="E2" s="63"/>
      <c r="F2" s="63"/>
      <c r="G2" s="63"/>
      <c r="H2" s="63"/>
      <c r="I2" s="63"/>
      <c r="J2" s="63"/>
      <c r="K2" s="63"/>
    </row>
    <row r="3" spans="1:11" x14ac:dyDescent="0.55000000000000004">
      <c r="A3" s="63"/>
      <c r="B3" s="63"/>
      <c r="C3" s="63"/>
      <c r="D3" s="63"/>
      <c r="E3" s="63"/>
      <c r="F3" s="63"/>
      <c r="G3" s="63"/>
      <c r="H3" s="63"/>
      <c r="I3" s="63"/>
      <c r="J3" s="63"/>
      <c r="K3" s="63"/>
    </row>
    <row r="4" spans="1:11" x14ac:dyDescent="0.55000000000000004">
      <c r="A4" s="63"/>
      <c r="B4" s="63"/>
      <c r="C4" s="63"/>
      <c r="D4" s="63"/>
      <c r="E4" s="63"/>
      <c r="F4" s="63"/>
      <c r="G4" s="63"/>
      <c r="H4" s="63"/>
      <c r="I4" s="63"/>
      <c r="J4" s="63"/>
      <c r="K4" s="63"/>
    </row>
    <row r="5" spans="1:11" x14ac:dyDescent="0.55000000000000004">
      <c r="A5" s="63"/>
      <c r="B5" s="63"/>
      <c r="C5" s="63"/>
      <c r="D5" s="63"/>
      <c r="E5" s="63"/>
      <c r="F5" s="63"/>
      <c r="G5" s="63"/>
      <c r="H5" s="63"/>
      <c r="I5" s="63"/>
      <c r="J5" s="63"/>
      <c r="K5" s="63"/>
    </row>
    <row r="6" spans="1:11" x14ac:dyDescent="0.55000000000000004">
      <c r="A6" s="63"/>
      <c r="B6" s="63"/>
      <c r="C6" s="63"/>
      <c r="D6" s="63"/>
      <c r="E6" s="63"/>
      <c r="F6" s="63"/>
      <c r="G6" s="63"/>
      <c r="H6" s="63"/>
      <c r="I6" s="63"/>
      <c r="J6" s="63"/>
      <c r="K6" s="63"/>
    </row>
    <row r="7" spans="1:11" x14ac:dyDescent="0.55000000000000004">
      <c r="A7" s="63"/>
      <c r="B7" s="63"/>
      <c r="C7" s="63"/>
      <c r="D7" s="63"/>
      <c r="E7" s="63"/>
      <c r="F7" s="63"/>
      <c r="G7" s="63"/>
      <c r="H7" s="63"/>
      <c r="I7" s="63"/>
      <c r="J7" s="63"/>
      <c r="K7" s="63"/>
    </row>
    <row r="8" spans="1:11" x14ac:dyDescent="0.55000000000000004">
      <c r="A8" s="6" t="s">
        <v>36</v>
      </c>
      <c r="B8" s="6" t="s">
        <v>44</v>
      </c>
      <c r="C8" s="6" t="s">
        <v>137</v>
      </c>
      <c r="D8" s="6" t="s">
        <v>144</v>
      </c>
      <c r="E8" s="6" t="s">
        <v>135</v>
      </c>
      <c r="F8" s="6" t="s">
        <v>143</v>
      </c>
      <c r="G8" s="6" t="s">
        <v>142</v>
      </c>
      <c r="H8" s="6" t="s">
        <v>86</v>
      </c>
      <c r="I8" s="6" t="s">
        <v>138</v>
      </c>
    </row>
    <row r="9" spans="1:11" x14ac:dyDescent="0.55000000000000004">
      <c r="A9" s="9">
        <v>2006</v>
      </c>
      <c r="B9" s="9">
        <v>91</v>
      </c>
      <c r="C9" s="6">
        <v>1</v>
      </c>
      <c r="D9" s="6">
        <f t="shared" ref="D9:D33" si="0" xml:space="preserve"> $H$9 / (1 + EXP(-$H$10 * (C9 - $H$11)))</f>
        <v>220.40674619948777</v>
      </c>
      <c r="E9" s="6">
        <f xml:space="preserve"> (B9 - D9)^2</f>
        <v>16746.105961938643</v>
      </c>
      <c r="F9" s="6">
        <f t="shared" ref="F9:F33" si="1" xml:space="preserve"> $H$9 * EXP(-EXP(-$H$10 * (C9 - $H$11)))</f>
        <v>1.2074875568275959E-3</v>
      </c>
      <c r="G9" s="6">
        <f t="shared" ref="G9:G27" si="2">SUM(E9:E29)</f>
        <v>20421969.819276877</v>
      </c>
      <c r="H9" s="40">
        <v>3500</v>
      </c>
      <c r="I9" s="6" t="s">
        <v>139</v>
      </c>
    </row>
    <row r="10" spans="1:11" x14ac:dyDescent="0.55000000000000004">
      <c r="A10" s="9">
        <v>2007</v>
      </c>
      <c r="B10" s="9">
        <v>132</v>
      </c>
      <c r="C10" s="6">
        <v>2</v>
      </c>
      <c r="D10" s="6">
        <f t="shared" si="0"/>
        <v>291.10443772872833</v>
      </c>
      <c r="E10" s="6">
        <f t="shared" ref="E10:E33" si="3" xml:space="preserve"> (B10 - D10)^2</f>
        <v>25314.22210497479</v>
      </c>
      <c r="F10" s="6">
        <f t="shared" si="1"/>
        <v>5.7116734416528189E-2</v>
      </c>
      <c r="G10" s="6">
        <f t="shared" si="2"/>
        <v>32173958.285042405</v>
      </c>
      <c r="H10" s="40">
        <v>0.3</v>
      </c>
      <c r="I10" s="6" t="s">
        <v>140</v>
      </c>
    </row>
    <row r="11" spans="1:11" x14ac:dyDescent="0.55000000000000004">
      <c r="A11" s="9">
        <v>2008</v>
      </c>
      <c r="B11" s="9">
        <v>177</v>
      </c>
      <c r="C11" s="6">
        <v>3</v>
      </c>
      <c r="D11" s="6">
        <f t="shared" si="0"/>
        <v>381.83887418464519</v>
      </c>
      <c r="E11" s="6">
        <f t="shared" si="3"/>
        <v>41958.9643772329</v>
      </c>
      <c r="F11" s="6">
        <f t="shared" si="1"/>
        <v>0.99436427552452233</v>
      </c>
      <c r="G11" s="6">
        <f t="shared" si="2"/>
        <v>44039354.118605047</v>
      </c>
      <c r="H11" s="40">
        <v>10</v>
      </c>
      <c r="I11" s="6" t="s">
        <v>141</v>
      </c>
    </row>
    <row r="12" spans="1:11" x14ac:dyDescent="0.55000000000000004">
      <c r="A12" s="9">
        <v>2009</v>
      </c>
      <c r="B12" s="9">
        <v>242</v>
      </c>
      <c r="C12" s="6">
        <v>4</v>
      </c>
      <c r="D12" s="6">
        <f t="shared" si="0"/>
        <v>496.47872715170735</v>
      </c>
      <c r="E12" s="6">
        <f t="shared" si="3"/>
        <v>64759.422572753116</v>
      </c>
      <c r="F12" s="6">
        <f t="shared" si="1"/>
        <v>8.2554268415263046</v>
      </c>
      <c r="G12" s="6">
        <f t="shared" si="2"/>
        <v>55979693.792905793</v>
      </c>
      <c r="H12" s="6">
        <f>MAX(B9:B28)</f>
        <v>3131</v>
      </c>
    </row>
    <row r="13" spans="1:11" x14ac:dyDescent="0.55000000000000004">
      <c r="A13" s="9">
        <v>2010</v>
      </c>
      <c r="B13" s="9">
        <v>336</v>
      </c>
      <c r="C13" s="6">
        <v>5</v>
      </c>
      <c r="D13" s="6">
        <f t="shared" si="0"/>
        <v>638.48933332224726</v>
      </c>
      <c r="E13" s="6">
        <f t="shared" si="3"/>
        <v>91499.796773737602</v>
      </c>
      <c r="F13" s="6">
        <f t="shared" si="1"/>
        <v>39.600002331608692</v>
      </c>
      <c r="G13" s="6">
        <f t="shared" si="2"/>
        <v>67965767.564786538</v>
      </c>
    </row>
    <row r="14" spans="1:11" x14ac:dyDescent="0.55000000000000004">
      <c r="A14" s="9">
        <v>2011</v>
      </c>
      <c r="B14" s="9">
        <v>465</v>
      </c>
      <c r="C14" s="6">
        <v>6</v>
      </c>
      <c r="D14" s="6">
        <f t="shared" si="0"/>
        <v>810.1632577534383</v>
      </c>
      <c r="E14" s="6">
        <f t="shared" si="3"/>
        <v>119137.67450296649</v>
      </c>
      <c r="F14" s="6">
        <f t="shared" si="1"/>
        <v>126.52011719597432</v>
      </c>
      <c r="G14" s="6">
        <f t="shared" si="2"/>
        <v>67874267.768012807</v>
      </c>
    </row>
    <row r="15" spans="1:11" x14ac:dyDescent="0.55000000000000004">
      <c r="A15" s="9">
        <v>2012</v>
      </c>
      <c r="B15" s="9">
        <v>622</v>
      </c>
      <c r="C15" s="6">
        <v>7</v>
      </c>
      <c r="D15" s="6">
        <f t="shared" si="0"/>
        <v>1011.6767408124862</v>
      </c>
      <c r="E15" s="6">
        <f t="shared" si="3"/>
        <v>151847.96233024151</v>
      </c>
      <c r="F15" s="6">
        <f t="shared" si="1"/>
        <v>299.14103056581087</v>
      </c>
      <c r="G15" s="6">
        <f t="shared" si="2"/>
        <v>67755130.093509838</v>
      </c>
    </row>
    <row r="16" spans="1:11" x14ac:dyDescent="0.55000000000000004">
      <c r="A16" s="9">
        <v>2013</v>
      </c>
      <c r="B16" s="9">
        <v>811</v>
      </c>
      <c r="C16" s="6">
        <v>8</v>
      </c>
      <c r="D16" s="6">
        <f t="shared" si="0"/>
        <v>1240.2029282097158</v>
      </c>
      <c r="E16" s="6">
        <f t="shared" si="3"/>
        <v>184215.15358379442</v>
      </c>
      <c r="F16" s="6">
        <f t="shared" si="1"/>
        <v>565.8898495079427</v>
      </c>
      <c r="G16" s="6">
        <f t="shared" ref="G16:G23" si="4">SUM(E16:E37)</f>
        <v>67603282.131179601</v>
      </c>
    </row>
    <row r="17" spans="1:7" x14ac:dyDescent="0.55000000000000004">
      <c r="A17" s="9">
        <v>2014</v>
      </c>
      <c r="B17" s="9">
        <v>1045</v>
      </c>
      <c r="C17" s="6">
        <v>9</v>
      </c>
      <c r="D17" s="6">
        <f t="shared" si="0"/>
        <v>1489.4511911591935</v>
      </c>
      <c r="E17" s="6">
        <f t="shared" si="3"/>
        <v>197536.86132282598</v>
      </c>
      <c r="F17" s="6">
        <f t="shared" si="1"/>
        <v>907.4690309678964</v>
      </c>
      <c r="G17" s="6">
        <f t="shared" si="4"/>
        <v>67419066.977595806</v>
      </c>
    </row>
    <row r="18" spans="1:7" x14ac:dyDescent="0.55000000000000004">
      <c r="A18" s="9">
        <v>2015</v>
      </c>
      <c r="B18" s="9">
        <v>1301</v>
      </c>
      <c r="C18" s="6">
        <v>10</v>
      </c>
      <c r="D18" s="6">
        <f t="shared" si="0"/>
        <v>1750</v>
      </c>
      <c r="E18" s="6">
        <f t="shared" si="3"/>
        <v>201601</v>
      </c>
      <c r="F18" s="6">
        <f t="shared" si="1"/>
        <v>1287.5780441000481</v>
      </c>
      <c r="G18" s="6">
        <f t="shared" si="4"/>
        <v>67221530.116272971</v>
      </c>
    </row>
    <row r="19" spans="1:7" x14ac:dyDescent="0.55000000000000004">
      <c r="A19" s="9">
        <v>2016</v>
      </c>
      <c r="B19" s="9">
        <v>1599</v>
      </c>
      <c r="C19" s="6">
        <v>11</v>
      </c>
      <c r="D19" s="6">
        <f t="shared" si="0"/>
        <v>2010.5488088408065</v>
      </c>
      <c r="E19" s="6">
        <f t="shared" si="3"/>
        <v>169372.42205828667</v>
      </c>
      <c r="F19" s="6">
        <f t="shared" si="1"/>
        <v>1668.5329175010793</v>
      </c>
      <c r="G19" s="6">
        <f t="shared" si="4"/>
        <v>67021955.116272971</v>
      </c>
    </row>
    <row r="20" spans="1:7" x14ac:dyDescent="0.55000000000000004">
      <c r="A20" s="9">
        <v>2017</v>
      </c>
      <c r="B20" s="9">
        <v>1883</v>
      </c>
      <c r="C20" s="6">
        <v>12</v>
      </c>
      <c r="D20" s="6">
        <f t="shared" si="0"/>
        <v>2259.797071790284</v>
      </c>
      <c r="E20" s="6">
        <f t="shared" si="3"/>
        <v>141976.03330973245</v>
      </c>
      <c r="F20" s="6">
        <f t="shared" si="1"/>
        <v>2021.725454906205</v>
      </c>
      <c r="G20" s="6">
        <f t="shared" si="4"/>
        <v>66854609.694214687</v>
      </c>
    </row>
    <row r="21" spans="1:7" x14ac:dyDescent="0.55000000000000004">
      <c r="A21" s="9">
        <v>2018</v>
      </c>
      <c r="B21" s="9">
        <v>2148</v>
      </c>
      <c r="C21" s="6">
        <v>13</v>
      </c>
      <c r="D21" s="6">
        <f t="shared" si="0"/>
        <v>2488.3232591875135</v>
      </c>
      <c r="E21" s="6">
        <f t="shared" si="3"/>
        <v>115819.92074401148</v>
      </c>
      <c r="F21" s="6">
        <f t="shared" si="1"/>
        <v>2330.7574690404276</v>
      </c>
      <c r="G21" s="6">
        <f t="shared" si="4"/>
        <v>66714661.660904959</v>
      </c>
    </row>
    <row r="22" spans="1:7" x14ac:dyDescent="0.55000000000000004">
      <c r="A22" s="9">
        <v>2019</v>
      </c>
      <c r="B22" s="9">
        <v>42</v>
      </c>
      <c r="C22" s="6">
        <v>14</v>
      </c>
      <c r="D22" s="6">
        <f t="shared" si="0"/>
        <v>2689.8367422465617</v>
      </c>
      <c r="E22" s="6">
        <f t="shared" si="3"/>
        <v>7011039.4135908848</v>
      </c>
      <c r="F22" s="6">
        <f t="shared" si="1"/>
        <v>2589.7691917426218</v>
      </c>
      <c r="G22" s="6">
        <f t="shared" si="4"/>
        <v>66600870.740160942</v>
      </c>
    </row>
    <row r="23" spans="1:7" x14ac:dyDescent="0.55000000000000004">
      <c r="A23" s="9">
        <v>2020</v>
      </c>
      <c r="B23" s="9">
        <v>2607</v>
      </c>
      <c r="C23" s="6">
        <v>15</v>
      </c>
      <c r="D23" s="6">
        <f t="shared" si="0"/>
        <v>2861.5106666777529</v>
      </c>
      <c r="E23" s="6">
        <f t="shared" si="3"/>
        <v>64775.679452754215</v>
      </c>
      <c r="F23" s="6">
        <f t="shared" si="1"/>
        <v>2800.0374955152374</v>
      </c>
      <c r="G23" s="6">
        <f t="shared" si="4"/>
        <v>59591861.326570064</v>
      </c>
    </row>
    <row r="24" spans="1:7" x14ac:dyDescent="0.55000000000000004">
      <c r="A24" s="9">
        <v>2021</v>
      </c>
      <c r="B24" s="9">
        <v>2782</v>
      </c>
      <c r="C24" s="6">
        <v>16</v>
      </c>
      <c r="D24" s="6">
        <f t="shared" si="0"/>
        <v>3003.5212728482929</v>
      </c>
      <c r="E24" s="6">
        <f t="shared" si="3"/>
        <v>49071.674324327847</v>
      </c>
      <c r="F24" s="6">
        <f t="shared" si="1"/>
        <v>2966.7411078052064</v>
      </c>
      <c r="G24" s="6">
        <f>SUM(E24:E44)</f>
        <v>59527085.647117302</v>
      </c>
    </row>
    <row r="25" spans="1:7" x14ac:dyDescent="0.55000000000000004">
      <c r="A25" s="9">
        <v>2022</v>
      </c>
      <c r="B25" s="9">
        <v>2905</v>
      </c>
      <c r="C25" s="6">
        <v>17</v>
      </c>
      <c r="D25" s="6">
        <f t="shared" si="0"/>
        <v>3118.1611258153548</v>
      </c>
      <c r="E25" s="6">
        <f t="shared" si="3"/>
        <v>45437.665558869521</v>
      </c>
      <c r="F25" s="6">
        <f t="shared" si="1"/>
        <v>3096.6055888781202</v>
      </c>
      <c r="G25" s="6">
        <f t="shared" si="2"/>
        <v>59478013.972792968</v>
      </c>
    </row>
    <row r="26" spans="1:7" x14ac:dyDescent="0.55000000000000004">
      <c r="A26" s="9">
        <v>2023</v>
      </c>
      <c r="B26" s="9">
        <v>2997</v>
      </c>
      <c r="C26" s="6">
        <v>18</v>
      </c>
      <c r="D26" s="6">
        <f t="shared" si="0"/>
        <v>3208.895562271272</v>
      </c>
      <c r="E26" s="6">
        <f t="shared" si="3"/>
        <v>44899.729310258488</v>
      </c>
      <c r="F26" s="6">
        <f t="shared" si="1"/>
        <v>3196.4634130106488</v>
      </c>
      <c r="G26" s="6">
        <f t="shared" si="2"/>
        <v>59432576.307234108</v>
      </c>
    </row>
    <row r="27" spans="1:7" x14ac:dyDescent="0.55000000000000004">
      <c r="A27" s="9">
        <v>2024</v>
      </c>
      <c r="B27" s="9">
        <v>3088</v>
      </c>
      <c r="C27" s="6">
        <v>19</v>
      </c>
      <c r="D27" s="6">
        <f t="shared" si="0"/>
        <v>3279.5932538005122</v>
      </c>
      <c r="E27" s="6">
        <f t="shared" si="3"/>
        <v>36707.974901867492</v>
      </c>
      <c r="F27" s="6">
        <f t="shared" si="1"/>
        <v>3272.5105929481288</v>
      </c>
      <c r="G27" s="6">
        <f t="shared" si="2"/>
        <v>59387676.577923849</v>
      </c>
    </row>
    <row r="28" spans="1:7" x14ac:dyDescent="0.55000000000000004">
      <c r="A28" s="9">
        <v>2025</v>
      </c>
      <c r="B28" s="9">
        <v>3131</v>
      </c>
      <c r="C28" s="6">
        <v>20</v>
      </c>
      <c r="D28" s="6">
        <f t="shared" si="0"/>
        <v>3334.0094438785168</v>
      </c>
      <c r="E28" s="6">
        <f t="shared" si="3"/>
        <v>41212.834303864656</v>
      </c>
      <c r="F28" s="6">
        <f t="shared" si="1"/>
        <v>3330.0119751515872</v>
      </c>
      <c r="G28" s="6">
        <f t="shared" ref="G28:G33" si="5">SUM(E28:E49)</f>
        <v>59350968.603021979</v>
      </c>
    </row>
    <row r="29" spans="1:7" x14ac:dyDescent="0.55000000000000004">
      <c r="A29" s="41">
        <v>2026</v>
      </c>
      <c r="B29" s="8"/>
      <c r="C29" s="6">
        <v>22</v>
      </c>
      <c r="D29" s="42">
        <f t="shared" si="0"/>
        <v>3406.9105224809691</v>
      </c>
      <c r="E29" s="6">
        <f t="shared" si="3"/>
        <v>11607039.308191551</v>
      </c>
      <c r="F29" s="42">
        <f t="shared" si="1"/>
        <v>3405.6616777327149</v>
      </c>
      <c r="G29" s="6">
        <f t="shared" si="5"/>
        <v>59309755.768718109</v>
      </c>
    </row>
    <row r="30" spans="1:7" x14ac:dyDescent="0.55000000000000004">
      <c r="A30" s="41">
        <v>2027</v>
      </c>
      <c r="B30" s="8"/>
      <c r="C30" s="6">
        <v>23</v>
      </c>
      <c r="D30" s="42">
        <f t="shared" si="0"/>
        <v>3430.5589299307289</v>
      </c>
      <c r="E30" s="6">
        <f t="shared" si="3"/>
        <v>11768734.571727468</v>
      </c>
      <c r="F30" s="42">
        <f t="shared" si="1"/>
        <v>3429.8655324758411</v>
      </c>
      <c r="G30" s="6">
        <f t="shared" si="5"/>
        <v>47702716.460526556</v>
      </c>
    </row>
    <row r="31" spans="1:7" x14ac:dyDescent="0.55000000000000004">
      <c r="A31" s="41">
        <v>2028</v>
      </c>
      <c r="B31" s="8"/>
      <c r="C31" s="6">
        <v>24</v>
      </c>
      <c r="D31" s="42">
        <f t="shared" si="0"/>
        <v>3448.2908890735443</v>
      </c>
      <c r="E31" s="6">
        <f t="shared" si="3"/>
        <v>11890710.055667615</v>
      </c>
      <c r="F31" s="42">
        <f t="shared" si="1"/>
        <v>3447.907039288802</v>
      </c>
      <c r="G31" s="6">
        <f t="shared" si="5"/>
        <v>35933981.888799094</v>
      </c>
    </row>
    <row r="32" spans="1:7" x14ac:dyDescent="0.55000000000000004">
      <c r="A32" s="41">
        <v>2029</v>
      </c>
      <c r="B32" s="8"/>
      <c r="C32" s="6">
        <v>25</v>
      </c>
      <c r="D32" s="42">
        <f t="shared" si="0"/>
        <v>3461.545700792924</v>
      </c>
      <c r="E32" s="6">
        <f t="shared" si="3"/>
        <v>11982298.638677975</v>
      </c>
      <c r="F32" s="42">
        <f t="shared" si="1"/>
        <v>3461.333681763283</v>
      </c>
      <c r="G32" s="6">
        <f t="shared" si="5"/>
        <v>24043271.833131477</v>
      </c>
    </row>
    <row r="33" spans="1:7" x14ac:dyDescent="0.55000000000000004">
      <c r="A33" s="41">
        <v>2030</v>
      </c>
      <c r="B33" s="8"/>
      <c r="C33" s="6">
        <v>26</v>
      </c>
      <c r="D33" s="42">
        <f t="shared" si="0"/>
        <v>3471.4310009639403</v>
      </c>
      <c r="E33" s="6">
        <f t="shared" si="3"/>
        <v>12050833.194453504</v>
      </c>
      <c r="F33" s="42">
        <f t="shared" si="1"/>
        <v>3471.3140861407715</v>
      </c>
      <c r="G33" s="6">
        <f t="shared" si="5"/>
        <v>12060973.194453504</v>
      </c>
    </row>
    <row r="34" spans="1:7" x14ac:dyDescent="0.55000000000000004">
      <c r="A34" s="7"/>
      <c r="B34" s="8"/>
    </row>
    <row r="35" spans="1:7" x14ac:dyDescent="0.55000000000000004">
      <c r="A35" s="7"/>
      <c r="B35" s="8"/>
    </row>
    <row r="36" spans="1:7" ht="23.1" x14ac:dyDescent="0.55000000000000004">
      <c r="A36" s="43" t="s">
        <v>126</v>
      </c>
      <c r="B36" t="s">
        <v>127</v>
      </c>
      <c r="C36" t="s">
        <v>128</v>
      </c>
      <c r="E36" s="47" t="s">
        <v>126</v>
      </c>
      <c r="F36" t="s">
        <v>127</v>
      </c>
      <c r="G36" t="s">
        <v>128</v>
      </c>
    </row>
    <row r="37" spans="1:7" ht="23.1" x14ac:dyDescent="0.55000000000000004">
      <c r="A37" s="43" t="s">
        <v>145</v>
      </c>
      <c r="B37"/>
      <c r="C37"/>
      <c r="E37" s="47" t="s">
        <v>167</v>
      </c>
      <c r="F37"/>
      <c r="G37"/>
    </row>
    <row r="38" spans="1:7" x14ac:dyDescent="0.55000000000000004">
      <c r="A38"/>
      <c r="B38"/>
      <c r="C38"/>
      <c r="E38"/>
      <c r="F38"/>
      <c r="G38"/>
    </row>
    <row r="39" spans="1:7" ht="28.8" x14ac:dyDescent="0.55000000000000004">
      <c r="A39" s="27" t="s">
        <v>146</v>
      </c>
      <c r="B39" s="27" t="s">
        <v>147</v>
      </c>
      <c r="C39" s="27" t="s">
        <v>148</v>
      </c>
      <c r="E39" s="27" t="s">
        <v>168</v>
      </c>
      <c r="F39" s="27" t="s">
        <v>169</v>
      </c>
      <c r="G39" s="27" t="s">
        <v>170</v>
      </c>
    </row>
    <row r="40" spans="1:7" ht="43.2" x14ac:dyDescent="0.55000000000000004">
      <c r="A40" s="29" t="s">
        <v>149</v>
      </c>
      <c r="B40" s="28" t="s">
        <v>150</v>
      </c>
      <c r="C40" s="28" t="s">
        <v>151</v>
      </c>
      <c r="E40" s="28">
        <v>2026</v>
      </c>
      <c r="F40" s="28">
        <v>3406.91</v>
      </c>
      <c r="G40" s="28">
        <v>3405.66</v>
      </c>
    </row>
    <row r="41" spans="1:7" ht="57.6" x14ac:dyDescent="0.55000000000000004">
      <c r="A41" s="29" t="s">
        <v>152</v>
      </c>
      <c r="B41" s="28" t="s">
        <v>153</v>
      </c>
      <c r="C41" s="28" t="s">
        <v>154</v>
      </c>
      <c r="E41" s="28">
        <v>2027</v>
      </c>
      <c r="F41" s="28">
        <v>3430.56</v>
      </c>
      <c r="G41" s="28">
        <v>3429.87</v>
      </c>
    </row>
    <row r="42" spans="1:7" x14ac:dyDescent="0.55000000000000004">
      <c r="A42" s="44"/>
      <c r="B42"/>
      <c r="C42"/>
      <c r="E42" s="28">
        <v>2028</v>
      </c>
      <c r="F42" s="28">
        <v>3448.29</v>
      </c>
      <c r="G42" s="28">
        <v>3447.91</v>
      </c>
    </row>
    <row r="43" spans="1:7" x14ac:dyDescent="0.55000000000000004">
      <c r="A43" s="45" t="s">
        <v>155</v>
      </c>
      <c r="B43"/>
      <c r="C43"/>
      <c r="E43" s="28">
        <v>2029</v>
      </c>
      <c r="F43" s="28">
        <v>3461.55</v>
      </c>
      <c r="G43" s="28">
        <v>3461.33</v>
      </c>
    </row>
    <row r="44" spans="1:7" x14ac:dyDescent="0.55000000000000004">
      <c r="A44" s="44"/>
      <c r="B44"/>
      <c r="C44"/>
      <c r="E44" s="28">
        <v>2030</v>
      </c>
      <c r="F44" s="28">
        <v>3471.43</v>
      </c>
      <c r="G44" s="28">
        <v>3471.31</v>
      </c>
    </row>
    <row r="45" spans="1:7" x14ac:dyDescent="0.55000000000000004">
      <c r="A45" s="45" t="s">
        <v>156</v>
      </c>
      <c r="B45"/>
      <c r="C45"/>
    </row>
    <row r="46" spans="1:7" x14ac:dyDescent="0.55000000000000004">
      <c r="A46" s="44"/>
      <c r="B46"/>
      <c r="C46"/>
    </row>
    <row r="47" spans="1:7" x14ac:dyDescent="0.55000000000000004">
      <c r="A47" s="45" t="s">
        <v>157</v>
      </c>
      <c r="B47"/>
      <c r="C47"/>
    </row>
    <row r="48" spans="1:7" ht="23.1" customHeight="1" x14ac:dyDescent="0.55000000000000004"/>
    <row r="49" spans="1:5" ht="17.399999999999999" customHeight="1" x14ac:dyDescent="0.55000000000000004">
      <c r="A49" s="43" t="s">
        <v>158</v>
      </c>
      <c r="D49"/>
      <c r="E49" s="47" t="s">
        <v>96</v>
      </c>
    </row>
    <row r="50" spans="1:5" x14ac:dyDescent="0.55000000000000004">
      <c r="A50" s="44"/>
      <c r="E50" s="44"/>
    </row>
    <row r="51" spans="1:5" x14ac:dyDescent="0.55000000000000004">
      <c r="A51" s="45" t="s">
        <v>159</v>
      </c>
      <c r="E51" s="44" t="s">
        <v>171</v>
      </c>
    </row>
    <row r="52" spans="1:5" x14ac:dyDescent="0.55000000000000004">
      <c r="A52" s="44"/>
      <c r="E52" s="44"/>
    </row>
    <row r="53" spans="1:5" x14ac:dyDescent="0.55000000000000004">
      <c r="A53" s="46" t="s">
        <v>160</v>
      </c>
      <c r="E53" s="44" t="s">
        <v>172</v>
      </c>
    </row>
    <row r="54" spans="1:5" x14ac:dyDescent="0.55000000000000004">
      <c r="A54" s="46"/>
      <c r="E54" s="44"/>
    </row>
    <row r="55" spans="1:5" x14ac:dyDescent="0.55000000000000004">
      <c r="A55" s="46" t="s">
        <v>161</v>
      </c>
      <c r="E55" s="44" t="s">
        <v>173</v>
      </c>
    </row>
    <row r="56" spans="1:5" x14ac:dyDescent="0.55000000000000004">
      <c r="A56" s="46"/>
      <c r="E56" s="44"/>
    </row>
    <row r="57" spans="1:5" x14ac:dyDescent="0.55000000000000004">
      <c r="A57" s="46" t="s">
        <v>162</v>
      </c>
      <c r="E57" s="44" t="s">
        <v>174</v>
      </c>
    </row>
    <row r="58" spans="1:5" x14ac:dyDescent="0.55000000000000004">
      <c r="A58" s="44"/>
    </row>
    <row r="59" spans="1:5" x14ac:dyDescent="0.55000000000000004">
      <c r="A59" s="45" t="s">
        <v>163</v>
      </c>
    </row>
    <row r="60" spans="1:5" ht="23.1" x14ac:dyDescent="0.55000000000000004">
      <c r="A60" s="44"/>
      <c r="E60" s="47" t="s">
        <v>175</v>
      </c>
    </row>
    <row r="61" spans="1:5" x14ac:dyDescent="0.55000000000000004">
      <c r="A61" s="46" t="s">
        <v>164</v>
      </c>
      <c r="E61"/>
    </row>
    <row r="62" spans="1:5" x14ac:dyDescent="0.55000000000000004">
      <c r="A62" s="46"/>
      <c r="E62" t="s">
        <v>176</v>
      </c>
    </row>
    <row r="63" spans="1:5" x14ac:dyDescent="0.55000000000000004">
      <c r="A63" s="46" t="s">
        <v>165</v>
      </c>
      <c r="E63"/>
    </row>
    <row r="64" spans="1:5" ht="17.399999999999999" x14ac:dyDescent="0.55000000000000004">
      <c r="A64" s="46"/>
      <c r="E64" s="43" t="s">
        <v>177</v>
      </c>
    </row>
    <row r="65" spans="1:13" x14ac:dyDescent="0.55000000000000004">
      <c r="A65" s="46" t="s">
        <v>166</v>
      </c>
      <c r="E65" s="44"/>
    </row>
    <row r="66" spans="1:13" x14ac:dyDescent="0.55000000000000004">
      <c r="E66" s="45" t="s">
        <v>178</v>
      </c>
    </row>
    <row r="67" spans="1:13" x14ac:dyDescent="0.55000000000000004">
      <c r="E67" s="44"/>
      <c r="F67" s="1"/>
      <c r="G67" s="1"/>
      <c r="H67" s="1"/>
      <c r="I67" s="1"/>
      <c r="J67" s="1"/>
      <c r="K67" s="1"/>
      <c r="L67" s="1"/>
      <c r="M67" s="1"/>
    </row>
    <row r="68" spans="1:13" x14ac:dyDescent="0.55000000000000004">
      <c r="E68" s="45" t="s">
        <v>179</v>
      </c>
    </row>
    <row r="69" spans="1:13" x14ac:dyDescent="0.55000000000000004">
      <c r="E69" s="44"/>
    </row>
    <row r="70" spans="1:13" x14ac:dyDescent="0.55000000000000004">
      <c r="E70" s="45" t="s">
        <v>180</v>
      </c>
    </row>
    <row r="71" spans="1:13" x14ac:dyDescent="0.55000000000000004">
      <c r="E71"/>
    </row>
    <row r="72" spans="1:13" ht="17.399999999999999" x14ac:dyDescent="0.55000000000000004">
      <c r="E72" s="43" t="s">
        <v>181</v>
      </c>
    </row>
    <row r="73" spans="1:13" x14ac:dyDescent="0.55000000000000004">
      <c r="E73" s="44"/>
    </row>
    <row r="74" spans="1:13" x14ac:dyDescent="0.55000000000000004">
      <c r="E74" s="44" t="s">
        <v>182</v>
      </c>
    </row>
    <row r="75" spans="1:13" x14ac:dyDescent="0.55000000000000004">
      <c r="E75" s="44"/>
    </row>
    <row r="76" spans="1:13" x14ac:dyDescent="0.55000000000000004">
      <c r="E76" s="44" t="s">
        <v>183</v>
      </c>
    </row>
    <row r="77" spans="1:13" x14ac:dyDescent="0.55000000000000004">
      <c r="E77" s="44"/>
    </row>
    <row r="78" spans="1:13" x14ac:dyDescent="0.55000000000000004">
      <c r="E78" s="44" t="s">
        <v>184</v>
      </c>
    </row>
  </sheetData>
  <mergeCells count="1">
    <mergeCell ref="A1:K7"/>
  </mergeCells>
  <phoneticPr fontId="14" type="noConversion"/>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ADE0B-8C7D-4D84-93F7-B7B15B09C2D9}">
  <dimension ref="A1:I42"/>
  <sheetViews>
    <sheetView topLeftCell="A31" zoomScale="67" workbookViewId="0">
      <selection activeCell="R19" sqref="R19"/>
    </sheetView>
  </sheetViews>
  <sheetFormatPr defaultColWidth="9.15625" defaultRowHeight="14.4" x14ac:dyDescent="0.55000000000000004"/>
  <cols>
    <col min="1" max="1" width="12.7890625" style="6" bestFit="1" customWidth="1"/>
    <col min="2" max="2" width="13.7890625" style="6" bestFit="1" customWidth="1"/>
    <col min="3" max="16384" width="9.15625" style="6"/>
  </cols>
  <sheetData>
    <row r="1" spans="1:9" x14ac:dyDescent="0.55000000000000004">
      <c r="A1" s="55" t="s">
        <v>35</v>
      </c>
      <c r="B1" s="55"/>
      <c r="C1" s="55"/>
      <c r="D1" s="55"/>
      <c r="E1" s="55"/>
      <c r="F1" s="55"/>
      <c r="G1" s="55"/>
      <c r="H1" s="55"/>
      <c r="I1" s="55"/>
    </row>
    <row r="2" spans="1:9" x14ac:dyDescent="0.55000000000000004">
      <c r="A2" s="55"/>
      <c r="B2" s="55"/>
      <c r="C2" s="55"/>
      <c r="D2" s="55"/>
      <c r="E2" s="55"/>
      <c r="F2" s="55"/>
      <c r="G2" s="55"/>
      <c r="H2" s="55"/>
      <c r="I2" s="55"/>
    </row>
    <row r="3" spans="1:9" x14ac:dyDescent="0.55000000000000004">
      <c r="A3" s="55"/>
      <c r="B3" s="55"/>
      <c r="C3" s="55"/>
      <c r="D3" s="55"/>
      <c r="E3" s="55"/>
      <c r="F3" s="55"/>
      <c r="G3" s="55"/>
      <c r="H3" s="55"/>
      <c r="I3" s="55"/>
    </row>
    <row r="4" spans="1:9" x14ac:dyDescent="0.55000000000000004">
      <c r="A4" s="55"/>
      <c r="B4" s="55"/>
      <c r="C4" s="55"/>
      <c r="D4" s="55"/>
      <c r="E4" s="55"/>
      <c r="F4" s="55"/>
      <c r="G4" s="55"/>
      <c r="H4" s="55"/>
      <c r="I4" s="55"/>
    </row>
    <row r="5" spans="1:9" x14ac:dyDescent="0.55000000000000004">
      <c r="A5" s="55"/>
      <c r="B5" s="55"/>
      <c r="C5" s="55"/>
      <c r="D5" s="55"/>
      <c r="E5" s="55"/>
      <c r="F5" s="55"/>
      <c r="G5" s="55"/>
      <c r="H5" s="55"/>
      <c r="I5" s="55"/>
    </row>
    <row r="6" spans="1:9" x14ac:dyDescent="0.55000000000000004">
      <c r="A6" s="55"/>
      <c r="B6" s="55"/>
      <c r="C6" s="55"/>
      <c r="D6" s="55"/>
      <c r="E6" s="55"/>
      <c r="F6" s="55"/>
      <c r="G6" s="55"/>
      <c r="H6" s="55"/>
      <c r="I6" s="55"/>
    </row>
    <row r="8" spans="1:9" x14ac:dyDescent="0.55000000000000004">
      <c r="A8" s="6" t="s">
        <v>185</v>
      </c>
      <c r="B8" s="6" t="s">
        <v>186</v>
      </c>
    </row>
    <row r="9" spans="1:9" x14ac:dyDescent="0.55000000000000004">
      <c r="A9" s="7">
        <v>44743</v>
      </c>
      <c r="B9" s="10">
        <v>250</v>
      </c>
    </row>
    <row r="10" spans="1:9" x14ac:dyDescent="0.55000000000000004">
      <c r="A10" s="7">
        <v>44774</v>
      </c>
      <c r="B10" s="10">
        <v>239</v>
      </c>
    </row>
    <row r="11" spans="1:9" x14ac:dyDescent="0.55000000000000004">
      <c r="A11" s="7">
        <v>44805</v>
      </c>
      <c r="B11" s="10">
        <v>207</v>
      </c>
    </row>
    <row r="12" spans="1:9" x14ac:dyDescent="0.55000000000000004">
      <c r="A12" s="7">
        <v>44835</v>
      </c>
      <c r="B12" s="10">
        <v>212</v>
      </c>
    </row>
    <row r="13" spans="1:9" x14ac:dyDescent="0.55000000000000004">
      <c r="A13" s="7">
        <v>44866</v>
      </c>
      <c r="B13" s="10">
        <v>262</v>
      </c>
    </row>
    <row r="14" spans="1:9" x14ac:dyDescent="0.55000000000000004">
      <c r="A14" s="7">
        <v>44896</v>
      </c>
      <c r="B14" s="10">
        <v>271</v>
      </c>
    </row>
    <row r="15" spans="1:9" x14ac:dyDescent="0.55000000000000004">
      <c r="A15" s="7">
        <v>44927</v>
      </c>
      <c r="B15" s="10">
        <v>213</v>
      </c>
    </row>
    <row r="16" spans="1:9" x14ac:dyDescent="0.55000000000000004">
      <c r="A16" s="7">
        <v>44958</v>
      </c>
      <c r="B16" s="10">
        <v>209</v>
      </c>
    </row>
    <row r="17" spans="1:2" x14ac:dyDescent="0.55000000000000004">
      <c r="A17" s="7">
        <v>44986</v>
      </c>
      <c r="B17" s="10">
        <v>239</v>
      </c>
    </row>
    <row r="18" spans="1:2" x14ac:dyDescent="0.55000000000000004">
      <c r="A18" s="7">
        <v>45017</v>
      </c>
      <c r="B18" s="10">
        <v>262</v>
      </c>
    </row>
    <row r="19" spans="1:2" x14ac:dyDescent="0.55000000000000004">
      <c r="A19" s="7">
        <v>45047</v>
      </c>
      <c r="B19" s="10">
        <v>293</v>
      </c>
    </row>
    <row r="20" spans="1:2" x14ac:dyDescent="0.55000000000000004">
      <c r="A20" s="7">
        <v>45078</v>
      </c>
      <c r="B20" s="10">
        <v>323</v>
      </c>
    </row>
    <row r="21" spans="1:2" x14ac:dyDescent="0.55000000000000004">
      <c r="A21" s="7">
        <v>45108</v>
      </c>
      <c r="B21" s="10">
        <v>343</v>
      </c>
    </row>
    <row r="22" spans="1:2" x14ac:dyDescent="0.55000000000000004">
      <c r="A22" s="7">
        <v>45139</v>
      </c>
      <c r="B22" s="10">
        <v>327</v>
      </c>
    </row>
    <row r="23" spans="1:2" x14ac:dyDescent="0.55000000000000004">
      <c r="A23" s="7">
        <v>45170</v>
      </c>
      <c r="B23" s="10">
        <v>313</v>
      </c>
    </row>
    <row r="24" spans="1:2" x14ac:dyDescent="0.55000000000000004">
      <c r="A24" s="7">
        <v>45200</v>
      </c>
      <c r="B24" s="10">
        <v>320</v>
      </c>
    </row>
    <row r="25" spans="1:2" x14ac:dyDescent="0.55000000000000004">
      <c r="A25" s="7">
        <v>45231</v>
      </c>
      <c r="B25" s="10">
        <v>347</v>
      </c>
    </row>
    <row r="26" spans="1:2" x14ac:dyDescent="0.55000000000000004">
      <c r="A26" s="7">
        <v>45261</v>
      </c>
      <c r="B26" s="10">
        <v>376</v>
      </c>
    </row>
    <row r="27" spans="1:2" x14ac:dyDescent="0.55000000000000004">
      <c r="A27" s="7">
        <v>45292</v>
      </c>
      <c r="B27" s="10">
        <v>322</v>
      </c>
    </row>
    <row r="28" spans="1:2" x14ac:dyDescent="0.55000000000000004">
      <c r="A28" s="7">
        <v>45323</v>
      </c>
      <c r="B28" s="10">
        <v>316</v>
      </c>
    </row>
    <row r="29" spans="1:2" x14ac:dyDescent="0.55000000000000004">
      <c r="A29" s="7">
        <v>45352</v>
      </c>
      <c r="B29" s="10">
        <v>342</v>
      </c>
    </row>
    <row r="30" spans="1:2" x14ac:dyDescent="0.55000000000000004">
      <c r="A30" s="7">
        <v>45383</v>
      </c>
      <c r="B30" s="10">
        <v>354</v>
      </c>
    </row>
    <row r="31" spans="1:2" x14ac:dyDescent="0.55000000000000004">
      <c r="A31" s="7">
        <v>45413</v>
      </c>
      <c r="B31" s="10">
        <v>402</v>
      </c>
    </row>
    <row r="32" spans="1:2" x14ac:dyDescent="0.55000000000000004">
      <c r="A32" s="7">
        <v>45444</v>
      </c>
      <c r="B32" s="10">
        <v>415</v>
      </c>
    </row>
    <row r="33" spans="1:2" x14ac:dyDescent="0.55000000000000004">
      <c r="A33" s="7">
        <v>45474</v>
      </c>
      <c r="B33" s="10">
        <v>447</v>
      </c>
    </row>
    <row r="34" spans="1:2" x14ac:dyDescent="0.55000000000000004">
      <c r="A34" s="7">
        <v>45505</v>
      </c>
      <c r="B34" s="10">
        <v>435</v>
      </c>
    </row>
    <row r="35" spans="1:2" x14ac:dyDescent="0.55000000000000004">
      <c r="A35" s="7">
        <v>45536</v>
      </c>
      <c r="B35" s="10">
        <v>399</v>
      </c>
    </row>
    <row r="36" spans="1:2" x14ac:dyDescent="0.55000000000000004">
      <c r="A36" s="7">
        <v>45566</v>
      </c>
      <c r="B36" s="10">
        <v>408</v>
      </c>
    </row>
    <row r="37" spans="1:2" x14ac:dyDescent="0.55000000000000004">
      <c r="A37" s="7">
        <v>45597</v>
      </c>
      <c r="B37" s="10">
        <v>456</v>
      </c>
    </row>
    <row r="38" spans="1:2" x14ac:dyDescent="0.55000000000000004">
      <c r="A38" s="7">
        <v>44896</v>
      </c>
      <c r="B38" s="10">
        <v>463</v>
      </c>
    </row>
    <row r="39" spans="1:2" x14ac:dyDescent="0.55000000000000004">
      <c r="A39" s="7">
        <v>45658</v>
      </c>
      <c r="B39" s="10">
        <v>419</v>
      </c>
    </row>
    <row r="40" spans="1:2" x14ac:dyDescent="0.55000000000000004">
      <c r="A40" s="7">
        <v>45689</v>
      </c>
      <c r="B40" s="10">
        <v>402</v>
      </c>
    </row>
    <row r="41" spans="1:2" x14ac:dyDescent="0.55000000000000004">
      <c r="A41" s="7">
        <v>45717</v>
      </c>
      <c r="B41" s="10">
        <v>446</v>
      </c>
    </row>
    <row r="42" spans="1:2" x14ac:dyDescent="0.55000000000000004">
      <c r="A42" s="7">
        <v>45748</v>
      </c>
      <c r="B42" s="10">
        <v>451</v>
      </c>
    </row>
  </sheetData>
  <mergeCells count="1">
    <mergeCell ref="A1:I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981A3-364E-430E-9005-A4BB3029E654}">
  <dimension ref="A1:AF108"/>
  <sheetViews>
    <sheetView tabSelected="1" zoomScale="39" workbookViewId="0">
      <selection activeCell="O2" sqref="O2"/>
    </sheetView>
  </sheetViews>
  <sheetFormatPr defaultRowHeight="14.4" x14ac:dyDescent="0.55000000000000004"/>
  <cols>
    <col min="1" max="1" width="17.1015625" customWidth="1"/>
    <col min="2" max="2" width="12.41796875" bestFit="1" customWidth="1"/>
    <col min="3" max="3" width="17.26171875" customWidth="1"/>
    <col min="4" max="5" width="27.05078125" customWidth="1"/>
    <col min="8" max="8" width="9.7890625" bestFit="1" customWidth="1"/>
    <col min="9" max="9" width="8.89453125" bestFit="1" customWidth="1"/>
    <col min="10" max="10" width="14.20703125" bestFit="1" customWidth="1"/>
    <col min="11" max="11" width="8.89453125" bestFit="1" customWidth="1"/>
  </cols>
  <sheetData>
    <row r="1" spans="1:32" x14ac:dyDescent="0.55000000000000004">
      <c r="A1" t="s">
        <v>185</v>
      </c>
      <c r="B1" t="s">
        <v>186</v>
      </c>
      <c r="C1" t="s">
        <v>187</v>
      </c>
      <c r="D1" t="s">
        <v>188</v>
      </c>
      <c r="E1" t="s">
        <v>189</v>
      </c>
      <c r="F1" t="s">
        <v>190</v>
      </c>
    </row>
    <row r="2" spans="1:32" ht="28.2" x14ac:dyDescent="1.05">
      <c r="A2" s="48">
        <v>44743</v>
      </c>
      <c r="B2" s="38">
        <v>250</v>
      </c>
      <c r="F2" s="38"/>
      <c r="H2" s="49"/>
      <c r="I2" s="50"/>
      <c r="J2" s="39"/>
      <c r="K2" s="39"/>
      <c r="O2" s="31" t="s">
        <v>218</v>
      </c>
    </row>
    <row r="3" spans="1:32" x14ac:dyDescent="0.55000000000000004">
      <c r="A3" s="48">
        <v>44774</v>
      </c>
      <c r="B3" s="38">
        <v>239</v>
      </c>
      <c r="F3" s="38"/>
      <c r="H3" s="51"/>
      <c r="I3" s="52"/>
      <c r="J3" s="39"/>
      <c r="K3" s="39"/>
    </row>
    <row r="4" spans="1:32" ht="23.1" x14ac:dyDescent="0.55000000000000004">
      <c r="A4" s="48">
        <v>44805</v>
      </c>
      <c r="B4" s="38">
        <v>207</v>
      </c>
      <c r="F4" s="38"/>
      <c r="H4" s="49"/>
      <c r="I4" s="50"/>
      <c r="J4" s="39"/>
      <c r="K4" s="39"/>
      <c r="AF4" s="47" t="s">
        <v>203</v>
      </c>
    </row>
    <row r="5" spans="1:32" x14ac:dyDescent="0.55000000000000004">
      <c r="A5" s="48">
        <v>44835</v>
      </c>
      <c r="B5" s="38">
        <v>212</v>
      </c>
      <c r="F5" s="38"/>
      <c r="H5" s="51"/>
      <c r="I5" s="52"/>
      <c r="J5" s="39"/>
      <c r="K5" s="39"/>
      <c r="AF5" s="6" t="s">
        <v>204</v>
      </c>
    </row>
    <row r="6" spans="1:32" x14ac:dyDescent="0.55000000000000004">
      <c r="A6" s="48">
        <v>44866</v>
      </c>
      <c r="B6" s="38">
        <v>262</v>
      </c>
      <c r="F6" s="38"/>
      <c r="H6" s="49"/>
      <c r="I6" s="50"/>
      <c r="J6" s="39"/>
      <c r="K6" s="39"/>
      <c r="AF6" s="44"/>
    </row>
    <row r="7" spans="1:32" x14ac:dyDescent="0.55000000000000004">
      <c r="A7" s="48">
        <v>44896</v>
      </c>
      <c r="B7" s="38">
        <v>367</v>
      </c>
      <c r="F7" s="38"/>
      <c r="H7" s="51"/>
      <c r="I7" s="52"/>
      <c r="J7" s="39"/>
      <c r="K7" s="39"/>
      <c r="AF7" s="45" t="s">
        <v>205</v>
      </c>
    </row>
    <row r="8" spans="1:32" x14ac:dyDescent="0.55000000000000004">
      <c r="A8" s="48">
        <v>44927</v>
      </c>
      <c r="B8" s="38">
        <v>213</v>
      </c>
      <c r="F8" s="38"/>
      <c r="H8" s="49"/>
      <c r="I8" s="50"/>
      <c r="J8" s="39"/>
      <c r="K8" s="39"/>
      <c r="AF8" s="44"/>
    </row>
    <row r="9" spans="1:32" x14ac:dyDescent="0.55000000000000004">
      <c r="A9" s="48">
        <v>44958</v>
      </c>
      <c r="B9" s="38">
        <v>209</v>
      </c>
      <c r="F9" s="38"/>
      <c r="H9" s="51"/>
      <c r="I9" s="52"/>
      <c r="J9" s="39"/>
      <c r="K9" s="39"/>
      <c r="AF9" s="45" t="s">
        <v>206</v>
      </c>
    </row>
    <row r="10" spans="1:32" x14ac:dyDescent="0.55000000000000004">
      <c r="A10" s="48">
        <v>44986</v>
      </c>
      <c r="B10" s="38">
        <v>239</v>
      </c>
      <c r="F10" s="38"/>
      <c r="H10" s="49"/>
      <c r="I10" s="50"/>
      <c r="J10" s="39"/>
      <c r="K10" s="39"/>
      <c r="AF10" s="44"/>
    </row>
    <row r="11" spans="1:32" x14ac:dyDescent="0.55000000000000004">
      <c r="A11" s="48">
        <v>45017</v>
      </c>
      <c r="B11" s="38">
        <v>262</v>
      </c>
      <c r="F11" s="38"/>
      <c r="H11" s="51"/>
      <c r="I11" s="52"/>
      <c r="J11" s="39"/>
      <c r="K11" s="39"/>
      <c r="AF11" s="45" t="s">
        <v>207</v>
      </c>
    </row>
    <row r="12" spans="1:32" x14ac:dyDescent="0.55000000000000004">
      <c r="A12" s="48">
        <v>45047</v>
      </c>
      <c r="B12" s="38">
        <v>293</v>
      </c>
      <c r="F12" s="38"/>
      <c r="H12" s="49"/>
      <c r="I12" s="50"/>
      <c r="J12" s="39"/>
      <c r="K12" s="39"/>
    </row>
    <row r="13" spans="1:32" x14ac:dyDescent="0.55000000000000004">
      <c r="A13" s="48">
        <v>45078</v>
      </c>
      <c r="B13" s="38">
        <v>323</v>
      </c>
      <c r="F13" s="38"/>
      <c r="H13" s="51"/>
      <c r="I13" s="52"/>
      <c r="J13" s="39"/>
      <c r="K13" s="39"/>
      <c r="AF13" s="6" t="s">
        <v>181</v>
      </c>
    </row>
    <row r="14" spans="1:32" x14ac:dyDescent="0.55000000000000004">
      <c r="A14" s="48">
        <v>45108</v>
      </c>
      <c r="B14" s="38">
        <v>343</v>
      </c>
      <c r="F14" s="38"/>
      <c r="H14" s="49"/>
      <c r="I14" s="50"/>
      <c r="J14" s="39"/>
      <c r="K14" s="39"/>
      <c r="AF14" s="44"/>
    </row>
    <row r="15" spans="1:32" x14ac:dyDescent="0.55000000000000004">
      <c r="A15" s="48">
        <v>45139</v>
      </c>
      <c r="B15" s="38">
        <v>327</v>
      </c>
      <c r="F15" s="38"/>
      <c r="H15" s="51"/>
      <c r="I15" s="52"/>
      <c r="J15" s="39"/>
      <c r="K15" s="39"/>
      <c r="AF15" s="45" t="s">
        <v>208</v>
      </c>
    </row>
    <row r="16" spans="1:32" x14ac:dyDescent="0.55000000000000004">
      <c r="A16" s="48">
        <v>45170</v>
      </c>
      <c r="B16" s="38">
        <v>313</v>
      </c>
      <c r="F16" s="38"/>
      <c r="H16" s="49"/>
      <c r="I16" s="50"/>
      <c r="J16" s="39"/>
      <c r="K16" s="39"/>
      <c r="AF16" s="44"/>
    </row>
    <row r="17" spans="1:32" x14ac:dyDescent="0.55000000000000004">
      <c r="A17" s="48">
        <v>45200</v>
      </c>
      <c r="B17" s="38">
        <v>320</v>
      </c>
      <c r="F17" s="38"/>
      <c r="H17" s="51"/>
      <c r="I17" s="52"/>
      <c r="J17" s="39"/>
      <c r="K17" s="39"/>
      <c r="AF17" s="45" t="s">
        <v>209</v>
      </c>
    </row>
    <row r="18" spans="1:32" x14ac:dyDescent="0.55000000000000004">
      <c r="A18" s="48">
        <v>45231</v>
      </c>
      <c r="B18" s="38">
        <v>347</v>
      </c>
      <c r="F18" s="38"/>
      <c r="H18" s="49"/>
      <c r="I18" s="50"/>
      <c r="J18" s="39"/>
      <c r="K18" s="39"/>
      <c r="AF18" s="44"/>
    </row>
    <row r="19" spans="1:32" x14ac:dyDescent="0.55000000000000004">
      <c r="A19" s="48">
        <v>45261</v>
      </c>
      <c r="B19" s="38">
        <v>376</v>
      </c>
      <c r="F19" s="38"/>
      <c r="H19" s="51"/>
      <c r="I19" s="52"/>
      <c r="J19" s="39"/>
      <c r="K19" s="39"/>
      <c r="AF19" s="45" t="s">
        <v>210</v>
      </c>
    </row>
    <row r="20" spans="1:32" x14ac:dyDescent="0.55000000000000004">
      <c r="A20" s="48">
        <v>45292</v>
      </c>
      <c r="B20" s="38">
        <v>322</v>
      </c>
      <c r="F20" s="38"/>
      <c r="H20" s="49"/>
      <c r="I20" s="50"/>
      <c r="J20" s="39"/>
      <c r="K20" s="39"/>
    </row>
    <row r="21" spans="1:32" x14ac:dyDescent="0.55000000000000004">
      <c r="A21" s="48">
        <v>45323</v>
      </c>
      <c r="B21" s="38">
        <v>316</v>
      </c>
      <c r="F21" s="38"/>
      <c r="H21" s="51"/>
      <c r="I21" s="52"/>
      <c r="J21" s="39"/>
      <c r="K21" s="39"/>
      <c r="AF21" s="6" t="s">
        <v>211</v>
      </c>
    </row>
    <row r="22" spans="1:32" x14ac:dyDescent="0.55000000000000004">
      <c r="A22" s="48">
        <v>45352</v>
      </c>
      <c r="B22" s="38">
        <v>342</v>
      </c>
      <c r="F22" s="38"/>
      <c r="H22" s="49"/>
      <c r="I22" s="50"/>
      <c r="J22" s="39"/>
      <c r="K22" s="39"/>
      <c r="AF22" s="44"/>
    </row>
    <row r="23" spans="1:32" x14ac:dyDescent="0.55000000000000004">
      <c r="A23" s="48">
        <v>45383</v>
      </c>
      <c r="B23" s="38">
        <v>354</v>
      </c>
      <c r="F23" s="38"/>
      <c r="H23" s="51"/>
      <c r="I23" s="52"/>
      <c r="J23" s="39"/>
      <c r="K23" s="39"/>
      <c r="AF23" s="44" t="s">
        <v>212</v>
      </c>
    </row>
    <row r="24" spans="1:32" x14ac:dyDescent="0.55000000000000004">
      <c r="A24" s="48">
        <v>45413</v>
      </c>
      <c r="B24" s="38">
        <v>402</v>
      </c>
      <c r="F24" s="38"/>
      <c r="H24" s="49"/>
      <c r="I24" s="50"/>
      <c r="J24" s="39"/>
      <c r="K24" s="39"/>
      <c r="AF24" s="44"/>
    </row>
    <row r="25" spans="1:32" x14ac:dyDescent="0.55000000000000004">
      <c r="A25" s="48">
        <v>45444</v>
      </c>
      <c r="B25" s="38">
        <v>415</v>
      </c>
      <c r="F25" s="38"/>
      <c r="H25" s="51"/>
      <c r="I25" s="52"/>
      <c r="J25" s="39"/>
      <c r="K25" s="39"/>
      <c r="AF25" s="44" t="s">
        <v>213</v>
      </c>
    </row>
    <row r="26" spans="1:32" x14ac:dyDescent="0.55000000000000004">
      <c r="A26" s="48">
        <v>45474</v>
      </c>
      <c r="B26" s="38">
        <v>447</v>
      </c>
      <c r="F26" s="38"/>
      <c r="H26" s="49"/>
      <c r="I26" s="50"/>
      <c r="J26" s="39"/>
      <c r="K26" s="39"/>
    </row>
    <row r="27" spans="1:32" x14ac:dyDescent="0.55000000000000004">
      <c r="A27" s="48">
        <v>45505</v>
      </c>
      <c r="B27" s="38">
        <v>435</v>
      </c>
      <c r="F27" s="38"/>
      <c r="H27" s="51"/>
      <c r="I27" s="52"/>
      <c r="J27" s="39"/>
      <c r="K27" s="39"/>
    </row>
    <row r="28" spans="1:32" x14ac:dyDescent="0.55000000000000004">
      <c r="A28" s="48">
        <v>45536</v>
      </c>
      <c r="B28" s="38">
        <v>399</v>
      </c>
      <c r="F28" s="38"/>
      <c r="H28" s="49"/>
      <c r="I28" s="50"/>
      <c r="J28" s="39"/>
      <c r="K28" s="39"/>
    </row>
    <row r="29" spans="1:32" ht="23.1" x14ac:dyDescent="0.55000000000000004">
      <c r="A29" s="48">
        <v>45566</v>
      </c>
      <c r="B29" s="38">
        <v>408</v>
      </c>
      <c r="F29" s="38"/>
      <c r="H29" s="51"/>
      <c r="I29" s="52"/>
      <c r="J29" s="39"/>
      <c r="K29" s="39"/>
      <c r="AF29" s="47" t="s">
        <v>217</v>
      </c>
    </row>
    <row r="30" spans="1:32" x14ac:dyDescent="0.55000000000000004">
      <c r="A30" s="48">
        <v>45597</v>
      </c>
      <c r="B30" s="38">
        <v>456</v>
      </c>
      <c r="F30" s="38"/>
      <c r="H30" s="49"/>
      <c r="I30" s="50"/>
      <c r="J30" s="39"/>
      <c r="K30" s="39"/>
      <c r="AF30" s="44"/>
    </row>
    <row r="31" spans="1:32" x14ac:dyDescent="0.55000000000000004">
      <c r="A31" s="48">
        <v>45627</v>
      </c>
      <c r="B31" s="38">
        <v>437.5</v>
      </c>
      <c r="F31" s="38"/>
      <c r="H31" s="51"/>
      <c r="I31" s="52"/>
      <c r="J31" s="39"/>
      <c r="K31" s="39"/>
      <c r="AF31" s="44" t="s">
        <v>214</v>
      </c>
    </row>
    <row r="32" spans="1:32" x14ac:dyDescent="0.55000000000000004">
      <c r="A32" s="48">
        <v>45658</v>
      </c>
      <c r="B32" s="38">
        <v>419</v>
      </c>
      <c r="F32" s="38"/>
      <c r="H32" s="49"/>
      <c r="I32" s="50"/>
      <c r="J32" s="39"/>
      <c r="K32" s="39"/>
      <c r="AF32" s="44"/>
    </row>
    <row r="33" spans="1:32" x14ac:dyDescent="0.55000000000000004">
      <c r="A33" s="48">
        <v>45689</v>
      </c>
      <c r="B33" s="38">
        <v>402</v>
      </c>
      <c r="F33" s="38"/>
      <c r="H33" s="51"/>
      <c r="I33" s="52"/>
      <c r="J33" s="39"/>
      <c r="K33" s="39"/>
      <c r="AF33" s="44" t="s">
        <v>215</v>
      </c>
    </row>
    <row r="34" spans="1:32" x14ac:dyDescent="0.55000000000000004">
      <c r="A34" s="48">
        <v>45717</v>
      </c>
      <c r="B34" s="38">
        <v>446</v>
      </c>
      <c r="F34" s="38"/>
      <c r="H34" s="49"/>
      <c r="I34" s="50"/>
      <c r="J34" s="39"/>
      <c r="K34" s="39"/>
      <c r="AF34" s="44"/>
    </row>
    <row r="35" spans="1:32" x14ac:dyDescent="0.55000000000000004">
      <c r="A35" s="48">
        <v>45748</v>
      </c>
      <c r="B35" s="38">
        <v>451</v>
      </c>
      <c r="C35" s="38">
        <v>451</v>
      </c>
      <c r="D35" s="38">
        <v>451</v>
      </c>
      <c r="E35" s="38">
        <v>451</v>
      </c>
      <c r="F35" s="38"/>
      <c r="H35" s="51"/>
      <c r="I35" s="52"/>
      <c r="J35" s="39"/>
      <c r="K35" s="39"/>
      <c r="AF35" s="44" t="s">
        <v>216</v>
      </c>
    </row>
    <row r="36" spans="1:32" x14ac:dyDescent="0.55000000000000004">
      <c r="A36" s="48">
        <v>45778</v>
      </c>
      <c r="C36" s="38">
        <f t="shared" ref="C36:C59" si="0">_xlfn.FORECAST.ETS(A36,$B$2:$B$35,$A$2:$A$35,1,1)</f>
        <v>487.91147888212635</v>
      </c>
      <c r="D36" s="38">
        <f t="shared" ref="D36:D59" si="1">C36-_xlfn.FORECAST.ETS.CONFINT(A36,$B$2:$B$35,$A$2:$A$35,0.95,1,1)</f>
        <v>452.10051723190452</v>
      </c>
      <c r="E36" s="38">
        <f t="shared" ref="E36:E59" si="2">C36+_xlfn.FORECAST.ETS.CONFINT(A36,$B$2:$B$35,$A$2:$A$35,0.95,1,1)</f>
        <v>523.72244053234817</v>
      </c>
      <c r="F36" s="38"/>
      <c r="H36" s="49"/>
      <c r="J36" s="39"/>
      <c r="K36" s="39"/>
    </row>
    <row r="37" spans="1:32" x14ac:dyDescent="0.55000000000000004">
      <c r="A37" s="48">
        <v>45809</v>
      </c>
      <c r="C37" s="38">
        <f t="shared" si="0"/>
        <v>512.24981663705512</v>
      </c>
      <c r="D37" s="38">
        <f t="shared" si="1"/>
        <v>476.43869383786841</v>
      </c>
      <c r="E37" s="38">
        <f t="shared" si="2"/>
        <v>548.06093943624182</v>
      </c>
      <c r="F37" s="38"/>
      <c r="H37" s="51"/>
      <c r="J37" s="39"/>
      <c r="K37" s="39"/>
    </row>
    <row r="38" spans="1:32" x14ac:dyDescent="0.55000000000000004">
      <c r="A38" s="48">
        <v>45839</v>
      </c>
      <c r="C38" s="38">
        <f t="shared" si="0"/>
        <v>533.15400169950681</v>
      </c>
      <c r="D38" s="38">
        <f t="shared" si="1"/>
        <v>497.34259241506203</v>
      </c>
      <c r="E38" s="38">
        <f t="shared" si="2"/>
        <v>568.96541098395164</v>
      </c>
      <c r="F38" s="38"/>
      <c r="H38" s="49"/>
      <c r="J38" s="39"/>
      <c r="K38" s="39"/>
    </row>
    <row r="39" spans="1:32" x14ac:dyDescent="0.55000000000000004">
      <c r="A39" s="48">
        <v>45870</v>
      </c>
      <c r="C39" s="38">
        <f t="shared" si="0"/>
        <v>517.96535657346772</v>
      </c>
      <c r="D39" s="38">
        <f t="shared" si="1"/>
        <v>482.15349966039525</v>
      </c>
      <c r="E39" s="38">
        <f t="shared" si="2"/>
        <v>553.77721348654018</v>
      </c>
      <c r="F39" s="38"/>
      <c r="H39" s="51"/>
      <c r="J39" s="39"/>
      <c r="K39" s="39"/>
    </row>
    <row r="40" spans="1:32" x14ac:dyDescent="0.55000000000000004">
      <c r="A40" s="48">
        <v>45901</v>
      </c>
      <c r="C40" s="38">
        <f t="shared" si="0"/>
        <v>498.93111427847077</v>
      </c>
      <c r="D40" s="38">
        <f t="shared" si="1"/>
        <v>463.11861279000379</v>
      </c>
      <c r="E40" s="38">
        <f t="shared" si="2"/>
        <v>534.74361576693775</v>
      </c>
      <c r="F40" s="38"/>
      <c r="H40" s="49"/>
      <c r="J40" s="39"/>
      <c r="K40" s="39"/>
    </row>
    <row r="41" spans="1:32" x14ac:dyDescent="0.55000000000000004">
      <c r="A41" s="48">
        <v>45931</v>
      </c>
      <c r="C41" s="38">
        <f t="shared" si="0"/>
        <v>505.94000552920471</v>
      </c>
      <c r="D41" s="38">
        <f t="shared" si="1"/>
        <v>470.12662672064778</v>
      </c>
      <c r="E41" s="38">
        <f t="shared" si="2"/>
        <v>541.75338433776164</v>
      </c>
      <c r="F41" s="38"/>
      <c r="H41" s="51"/>
      <c r="J41" s="39"/>
      <c r="K41" s="39"/>
    </row>
    <row r="42" spans="1:32" x14ac:dyDescent="0.55000000000000004">
      <c r="A42" s="48">
        <v>45962</v>
      </c>
      <c r="C42" s="38">
        <f t="shared" si="0"/>
        <v>537.77733654736539</v>
      </c>
      <c r="D42" s="38">
        <f t="shared" si="1"/>
        <v>501.96281188371046</v>
      </c>
      <c r="E42" s="38">
        <f t="shared" si="2"/>
        <v>573.59186121102039</v>
      </c>
      <c r="F42" s="38"/>
      <c r="H42" s="49"/>
      <c r="J42" s="39"/>
      <c r="K42" s="39"/>
    </row>
    <row r="43" spans="1:32" x14ac:dyDescent="0.55000000000000004">
      <c r="A43" s="48">
        <v>45992</v>
      </c>
      <c r="C43" s="38">
        <f t="shared" si="0"/>
        <v>596.00266400540795</v>
      </c>
      <c r="D43" s="38">
        <f t="shared" si="1"/>
        <v>560.18668917145339</v>
      </c>
      <c r="E43" s="38">
        <f t="shared" si="2"/>
        <v>631.81863883936251</v>
      </c>
      <c r="F43" s="38"/>
      <c r="H43" s="51"/>
      <c r="J43" s="39"/>
      <c r="K43" s="39"/>
    </row>
    <row r="44" spans="1:32" x14ac:dyDescent="0.55000000000000004">
      <c r="A44" s="48">
        <v>46023</v>
      </c>
      <c r="C44" s="38">
        <f t="shared" si="0"/>
        <v>503.26250736427653</v>
      </c>
      <c r="D44" s="38">
        <f t="shared" si="1"/>
        <v>467.44474227760622</v>
      </c>
      <c r="E44" s="38">
        <f t="shared" si="2"/>
        <v>539.08027245094684</v>
      </c>
      <c r="F44" s="38"/>
      <c r="H44" s="49"/>
      <c r="J44" s="39"/>
      <c r="K44" s="39"/>
    </row>
    <row r="45" spans="1:32" x14ac:dyDescent="0.55000000000000004">
      <c r="A45" s="48">
        <v>46054</v>
      </c>
      <c r="C45" s="38">
        <f t="shared" si="0"/>
        <v>496.55598695297834</v>
      </c>
      <c r="D45" s="38">
        <f t="shared" si="1"/>
        <v>460.73605578015514</v>
      </c>
      <c r="E45" s="38">
        <f t="shared" si="2"/>
        <v>532.3759181258016</v>
      </c>
      <c r="F45" s="38"/>
      <c r="H45" s="51"/>
      <c r="J45" s="39"/>
      <c r="K45" s="39"/>
    </row>
    <row r="46" spans="1:32" x14ac:dyDescent="0.55000000000000004">
      <c r="A46" s="48">
        <v>46082</v>
      </c>
      <c r="C46" s="38">
        <f t="shared" si="0"/>
        <v>526.64549372450438</v>
      </c>
      <c r="D46" s="38">
        <f t="shared" si="1"/>
        <v>490.8229849008319</v>
      </c>
      <c r="E46" s="38">
        <f t="shared" si="2"/>
        <v>562.46800254817686</v>
      </c>
      <c r="F46" s="38"/>
      <c r="H46" s="49"/>
      <c r="J46" s="39"/>
      <c r="K46" s="39"/>
    </row>
    <row r="47" spans="1:32" x14ac:dyDescent="0.55000000000000004">
      <c r="A47" s="48">
        <v>46113</v>
      </c>
      <c r="C47" s="38">
        <f t="shared" si="0"/>
        <v>542.59080230122322</v>
      </c>
      <c r="D47" s="38">
        <f t="shared" si="1"/>
        <v>506.76526855442813</v>
      </c>
      <c r="E47" s="38">
        <f t="shared" si="2"/>
        <v>578.41633604801825</v>
      </c>
      <c r="F47" s="38"/>
      <c r="H47" s="51"/>
      <c r="J47" s="39"/>
      <c r="K47" s="39"/>
    </row>
    <row r="48" spans="1:32" x14ac:dyDescent="0.55000000000000004">
      <c r="A48" s="48">
        <v>46143</v>
      </c>
      <c r="C48" s="38">
        <f t="shared" si="0"/>
        <v>581.67647055175973</v>
      </c>
      <c r="D48" s="38">
        <f t="shared" si="1"/>
        <v>545.50677880339856</v>
      </c>
      <c r="E48" s="38">
        <f t="shared" si="2"/>
        <v>617.84616230012091</v>
      </c>
      <c r="F48" s="38"/>
      <c r="H48" s="49"/>
      <c r="J48" s="39"/>
      <c r="K48" s="39"/>
    </row>
    <row r="49" spans="1:11" x14ac:dyDescent="0.55000000000000004">
      <c r="A49" s="48">
        <v>46174</v>
      </c>
      <c r="C49" s="38">
        <f t="shared" si="0"/>
        <v>606.01480830668845</v>
      </c>
      <c r="D49" s="38">
        <f t="shared" si="1"/>
        <v>569.84112800193247</v>
      </c>
      <c r="E49" s="38">
        <f t="shared" si="2"/>
        <v>642.18848861144443</v>
      </c>
      <c r="F49" s="38"/>
      <c r="H49" s="51"/>
      <c r="J49" s="39"/>
      <c r="K49" s="39"/>
    </row>
    <row r="50" spans="1:11" x14ac:dyDescent="0.55000000000000004">
      <c r="A50" s="48">
        <v>46204</v>
      </c>
      <c r="C50" s="38">
        <f t="shared" si="0"/>
        <v>626.91899336914014</v>
      </c>
      <c r="D50" s="38">
        <f t="shared" si="1"/>
        <v>590.74077550833181</v>
      </c>
      <c r="E50" s="38">
        <f t="shared" si="2"/>
        <v>663.09721122994847</v>
      </c>
      <c r="F50" s="38"/>
      <c r="H50" s="49"/>
      <c r="J50" s="39"/>
      <c r="K50" s="39"/>
    </row>
    <row r="51" spans="1:11" x14ac:dyDescent="0.55000000000000004">
      <c r="A51" s="48">
        <v>46235</v>
      </c>
      <c r="C51" s="38">
        <f t="shared" si="0"/>
        <v>611.73034824310105</v>
      </c>
      <c r="D51" s="38">
        <f t="shared" si="1"/>
        <v>575.54700859069078</v>
      </c>
      <c r="E51" s="38">
        <f t="shared" si="2"/>
        <v>647.91368789551132</v>
      </c>
      <c r="F51" s="38"/>
      <c r="H51" s="51"/>
      <c r="J51" s="39"/>
      <c r="K51" s="39"/>
    </row>
    <row r="52" spans="1:11" x14ac:dyDescent="0.55000000000000004">
      <c r="A52" s="48">
        <v>46266</v>
      </c>
      <c r="C52" s="38">
        <f t="shared" si="0"/>
        <v>592.69610594810422</v>
      </c>
      <c r="D52" s="38">
        <f t="shared" si="1"/>
        <v>556.50702507979031</v>
      </c>
      <c r="E52" s="38">
        <f t="shared" si="2"/>
        <v>628.88518681641813</v>
      </c>
      <c r="F52" s="38"/>
      <c r="H52" s="49"/>
      <c r="J52" s="39"/>
      <c r="K52" s="39"/>
    </row>
    <row r="53" spans="1:11" x14ac:dyDescent="0.55000000000000004">
      <c r="A53" s="48">
        <v>46296</v>
      </c>
      <c r="C53" s="38">
        <f t="shared" si="0"/>
        <v>599.70499719883799</v>
      </c>
      <c r="D53" s="38">
        <f t="shared" si="1"/>
        <v>563.50952055452376</v>
      </c>
      <c r="E53" s="38">
        <f t="shared" si="2"/>
        <v>635.90047384315221</v>
      </c>
      <c r="F53" s="38"/>
      <c r="H53" s="51"/>
      <c r="J53" s="39"/>
      <c r="K53" s="39"/>
    </row>
    <row r="54" spans="1:11" x14ac:dyDescent="0.55000000000000004">
      <c r="A54" s="48">
        <v>46327</v>
      </c>
      <c r="C54" s="38">
        <f t="shared" si="0"/>
        <v>631.54232821699884</v>
      </c>
      <c r="D54" s="38">
        <f t="shared" si="1"/>
        <v>595.33976615989002</v>
      </c>
      <c r="E54" s="38">
        <f t="shared" si="2"/>
        <v>667.74489027410766</v>
      </c>
      <c r="F54" s="38"/>
      <c r="H54" s="49"/>
      <c r="J54" s="39"/>
      <c r="K54" s="39"/>
    </row>
    <row r="55" spans="1:11" x14ac:dyDescent="0.55000000000000004">
      <c r="A55" s="48">
        <v>46357</v>
      </c>
      <c r="C55" s="38">
        <f t="shared" si="0"/>
        <v>689.76765567504128</v>
      </c>
      <c r="D55" s="38">
        <f t="shared" si="1"/>
        <v>653.55728355720066</v>
      </c>
      <c r="E55" s="38">
        <f t="shared" si="2"/>
        <v>725.9780277928819</v>
      </c>
      <c r="F55" s="38"/>
      <c r="H55" s="51"/>
      <c r="J55" s="39"/>
      <c r="K55" s="39"/>
    </row>
    <row r="56" spans="1:11" x14ac:dyDescent="0.55000000000000004">
      <c r="A56" s="48">
        <v>46388</v>
      </c>
      <c r="C56" s="38">
        <f t="shared" si="0"/>
        <v>597.02749903390998</v>
      </c>
      <c r="D56" s="38">
        <f t="shared" si="1"/>
        <v>560.8085572685842</v>
      </c>
      <c r="E56" s="38">
        <f t="shared" si="2"/>
        <v>633.24644079923576</v>
      </c>
      <c r="F56" s="38"/>
      <c r="H56" s="49"/>
      <c r="J56" s="39"/>
      <c r="K56" s="39"/>
    </row>
    <row r="57" spans="1:11" x14ac:dyDescent="0.55000000000000004">
      <c r="A57" s="48">
        <v>46419</v>
      </c>
      <c r="C57" s="38">
        <f t="shared" si="0"/>
        <v>590.32097862261162</v>
      </c>
      <c r="D57" s="38">
        <f t="shared" si="1"/>
        <v>554.09267276363619</v>
      </c>
      <c r="E57" s="38">
        <f t="shared" si="2"/>
        <v>626.54928448158705</v>
      </c>
      <c r="F57" s="38"/>
      <c r="H57" s="51"/>
      <c r="J57" s="39"/>
      <c r="K57" s="39"/>
    </row>
    <row r="58" spans="1:11" x14ac:dyDescent="0.55000000000000004">
      <c r="A58" s="48">
        <v>46447</v>
      </c>
      <c r="C58" s="38">
        <f t="shared" si="0"/>
        <v>620.41048539413771</v>
      </c>
      <c r="D58" s="38">
        <f t="shared" si="1"/>
        <v>584.17198622272235</v>
      </c>
      <c r="E58" s="38">
        <f t="shared" si="2"/>
        <v>656.64898456555306</v>
      </c>
      <c r="F58" s="38"/>
      <c r="H58" s="49"/>
      <c r="J58" s="39"/>
      <c r="K58" s="39"/>
    </row>
    <row r="59" spans="1:11" x14ac:dyDescent="0.55000000000000004">
      <c r="A59" s="48">
        <v>46478</v>
      </c>
      <c r="C59" s="38">
        <f t="shared" si="0"/>
        <v>636.35579397085655</v>
      </c>
      <c r="D59" s="38">
        <f t="shared" si="1"/>
        <v>600.10623759004523</v>
      </c>
      <c r="E59" s="38">
        <f t="shared" si="2"/>
        <v>672.60535035166788</v>
      </c>
      <c r="F59" s="38"/>
      <c r="H59" s="51"/>
      <c r="J59" s="39"/>
      <c r="K59" s="39"/>
    </row>
    <row r="101" spans="1:2" ht="23.1" x14ac:dyDescent="0.55000000000000004">
      <c r="A101" s="47" t="s">
        <v>191</v>
      </c>
    </row>
    <row r="103" spans="1:2" ht="14.4" customHeight="1" x14ac:dyDescent="0.55000000000000004">
      <c r="A103" s="27" t="s">
        <v>192</v>
      </c>
      <c r="B103" s="27" t="s">
        <v>96</v>
      </c>
    </row>
    <row r="104" spans="1:2" ht="144" x14ac:dyDescent="0.55000000000000004">
      <c r="A104" s="29" t="s">
        <v>193</v>
      </c>
      <c r="B104" s="28" t="s">
        <v>194</v>
      </c>
    </row>
    <row r="105" spans="1:2" ht="158.4" x14ac:dyDescent="0.55000000000000004">
      <c r="A105" s="29" t="s">
        <v>195</v>
      </c>
      <c r="B105" s="28" t="s">
        <v>196</v>
      </c>
    </row>
    <row r="106" spans="1:2" ht="144" x14ac:dyDescent="0.55000000000000004">
      <c r="A106" s="29" t="s">
        <v>197</v>
      </c>
      <c r="B106" s="28" t="s">
        <v>198</v>
      </c>
    </row>
    <row r="107" spans="1:2" ht="100.8" x14ac:dyDescent="0.55000000000000004">
      <c r="A107" s="29" t="s">
        <v>199</v>
      </c>
      <c r="B107" s="28" t="s">
        <v>200</v>
      </c>
    </row>
    <row r="108" spans="1:2" ht="158.4" x14ac:dyDescent="0.55000000000000004">
      <c r="A108" s="29" t="s">
        <v>201</v>
      </c>
      <c r="B108" s="28" t="s">
        <v>202</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Regression (1)</vt:lpstr>
      <vt:lpstr>Regression (2)</vt:lpstr>
      <vt:lpstr>Cupcake Data</vt:lpstr>
      <vt:lpstr>Avocado Data</vt:lpstr>
      <vt:lpstr>Sheet1</vt:lpstr>
    </vt:vector>
  </TitlesOfParts>
  <Company>Webster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Rhiney - Chair, Management</dc:creator>
  <cp:lastModifiedBy>pranav mekala</cp:lastModifiedBy>
  <dcterms:created xsi:type="dcterms:W3CDTF">2025-08-14T21:53:09Z</dcterms:created>
  <dcterms:modified xsi:type="dcterms:W3CDTF">2026-02-07T21:34:32Z</dcterms:modified>
</cp:coreProperties>
</file>